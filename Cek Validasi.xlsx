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xampp\htdocs\icvee\ICVEE\"/>
    </mc:Choice>
  </mc:AlternateContent>
  <xr:revisionPtr revIDLastSave="0" documentId="13_ncr:1_{4383FD01-A6E1-4486-B93A-A795D059233C}" xr6:coauthVersionLast="47" xr6:coauthVersionMax="47" xr10:uidLastSave="{00000000-0000-0000-0000-000000000000}"/>
  <bookViews>
    <workbookView xWindow="-108" yWindow="-108" windowWidth="23256" windowHeight="12456" xr2:uid="{9BCEFB9A-EF35-43F1-AD2F-79243D21B5CB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2" i="1" l="1"/>
  <c r="C2" i="1" s="1"/>
  <c r="A3" i="1"/>
  <c r="C3" i="1" s="1"/>
  <c r="A4" i="1"/>
  <c r="C4" i="1" s="1"/>
  <c r="A5" i="1"/>
  <c r="C5" i="1" s="1"/>
  <c r="A6" i="1"/>
  <c r="C6" i="1" s="1"/>
  <c r="A7" i="1"/>
  <c r="C7" i="1" s="1"/>
  <c r="A8" i="1"/>
  <c r="C8" i="1" s="1"/>
  <c r="A9" i="1"/>
  <c r="C9" i="1" s="1"/>
  <c r="A10" i="1"/>
  <c r="C10" i="1" s="1"/>
  <c r="A11" i="1"/>
  <c r="C11" i="1" s="1"/>
  <c r="A12" i="1"/>
  <c r="C12" i="1" s="1"/>
  <c r="A13" i="1"/>
  <c r="C13" i="1" s="1"/>
  <c r="A14" i="1"/>
  <c r="C14" i="1" s="1"/>
  <c r="A15" i="1"/>
  <c r="C15" i="1" s="1"/>
  <c r="A16" i="1"/>
  <c r="C16" i="1" s="1"/>
  <c r="A17" i="1"/>
  <c r="C17" i="1" s="1"/>
  <c r="A18" i="1"/>
  <c r="C18" i="1" s="1"/>
  <c r="A19" i="1"/>
  <c r="C19" i="1" s="1"/>
  <c r="A20" i="1"/>
  <c r="C20" i="1" s="1"/>
  <c r="A21" i="1"/>
  <c r="C21" i="1" s="1"/>
  <c r="A22" i="1"/>
  <c r="C22" i="1" s="1"/>
  <c r="A23" i="1"/>
  <c r="C23" i="1" s="1"/>
  <c r="A24" i="1"/>
  <c r="C24" i="1" s="1"/>
  <c r="A25" i="1"/>
  <c r="C25" i="1" s="1"/>
  <c r="A26" i="1"/>
  <c r="C26" i="1" s="1"/>
  <c r="A27" i="1"/>
  <c r="C27" i="1" s="1"/>
  <c r="A28" i="1"/>
  <c r="C28" i="1" s="1"/>
  <c r="A29" i="1"/>
  <c r="C29" i="1" s="1"/>
  <c r="A30" i="1"/>
  <c r="C30" i="1" s="1"/>
  <c r="A31" i="1"/>
  <c r="C31" i="1" s="1"/>
  <c r="A32" i="1"/>
  <c r="C32" i="1" s="1"/>
  <c r="A33" i="1"/>
  <c r="C33" i="1" s="1"/>
  <c r="A34" i="1"/>
  <c r="C34" i="1" s="1"/>
  <c r="A35" i="1"/>
  <c r="C35" i="1" s="1"/>
  <c r="A36" i="1"/>
  <c r="C36" i="1" s="1"/>
  <c r="A37" i="1"/>
  <c r="C37" i="1" s="1"/>
  <c r="A38" i="1"/>
  <c r="C38" i="1" s="1"/>
  <c r="A39" i="1"/>
  <c r="C39" i="1" s="1"/>
  <c r="A40" i="1"/>
  <c r="C40" i="1" s="1"/>
  <c r="A41" i="1"/>
  <c r="C41" i="1" s="1"/>
  <c r="A42" i="1"/>
  <c r="C42" i="1" s="1"/>
  <c r="A43" i="1"/>
  <c r="C43" i="1" s="1"/>
  <c r="A44" i="1"/>
  <c r="C44" i="1" s="1"/>
  <c r="A45" i="1"/>
  <c r="C45" i="1" s="1"/>
  <c r="A46" i="1"/>
  <c r="C46" i="1" s="1"/>
  <c r="A47" i="1"/>
  <c r="C47" i="1" s="1"/>
  <c r="A48" i="1"/>
  <c r="C48" i="1" s="1"/>
  <c r="A49" i="1"/>
  <c r="C49" i="1" s="1"/>
  <c r="A50" i="1"/>
  <c r="C50" i="1" s="1"/>
  <c r="A51" i="1"/>
  <c r="C51" i="1" s="1"/>
  <c r="A52" i="1"/>
  <c r="C52" i="1" s="1"/>
  <c r="A53" i="1"/>
  <c r="C53" i="1" s="1"/>
  <c r="A54" i="1"/>
  <c r="C54" i="1" s="1"/>
  <c r="A55" i="1"/>
  <c r="C55" i="1" s="1"/>
  <c r="A56" i="1"/>
  <c r="C56" i="1" s="1"/>
  <c r="A57" i="1"/>
  <c r="C57" i="1" s="1"/>
  <c r="A58" i="1"/>
  <c r="C58" i="1" s="1"/>
  <c r="A59" i="1"/>
  <c r="C59" i="1" s="1"/>
  <c r="A60" i="1"/>
  <c r="C60" i="1" s="1"/>
  <c r="A61" i="1"/>
  <c r="C61" i="1" s="1"/>
  <c r="A62" i="1"/>
  <c r="C62" i="1" s="1"/>
  <c r="A63" i="1"/>
  <c r="C63" i="1" s="1"/>
  <c r="A64" i="1"/>
  <c r="C64" i="1" s="1"/>
  <c r="A65" i="1"/>
  <c r="C65" i="1" s="1"/>
  <c r="A66" i="1"/>
  <c r="C66" i="1" s="1"/>
  <c r="A67" i="1"/>
  <c r="C67" i="1" s="1"/>
  <c r="A68" i="1"/>
  <c r="C68" i="1" s="1"/>
  <c r="A69" i="1"/>
  <c r="C69" i="1" s="1"/>
  <c r="A70" i="1"/>
  <c r="C70" i="1" s="1"/>
  <c r="A71" i="1"/>
  <c r="C71" i="1" s="1"/>
  <c r="A72" i="1"/>
  <c r="C72" i="1" s="1"/>
  <c r="A73" i="1"/>
  <c r="C73" i="1" s="1"/>
  <c r="A74" i="1"/>
  <c r="C74" i="1" s="1"/>
  <c r="A75" i="1"/>
  <c r="C75" i="1" s="1"/>
  <c r="A76" i="1"/>
  <c r="C76" i="1" s="1"/>
  <c r="A77" i="1"/>
  <c r="C77" i="1" s="1"/>
  <c r="A78" i="1"/>
  <c r="C78" i="1" s="1"/>
  <c r="A79" i="1"/>
  <c r="C79" i="1" s="1"/>
  <c r="A80" i="1"/>
  <c r="C80" i="1" s="1"/>
  <c r="A81" i="1"/>
  <c r="C81" i="1" s="1"/>
  <c r="A82" i="1"/>
  <c r="C82" i="1" s="1"/>
  <c r="A83" i="1"/>
  <c r="C83" i="1" s="1"/>
  <c r="A84" i="1"/>
  <c r="C84" i="1" s="1"/>
  <c r="A85" i="1"/>
  <c r="C85" i="1" s="1"/>
  <c r="A86" i="1"/>
  <c r="C86" i="1" s="1"/>
  <c r="A87" i="1"/>
  <c r="C87" i="1" s="1"/>
  <c r="A88" i="1"/>
  <c r="C88" i="1" s="1"/>
  <c r="A89" i="1"/>
  <c r="C89" i="1" s="1"/>
  <c r="A90" i="1"/>
  <c r="C90" i="1" s="1"/>
  <c r="A91" i="1"/>
  <c r="C91" i="1" s="1"/>
  <c r="A92" i="1"/>
  <c r="C92" i="1" s="1"/>
  <c r="A93" i="1"/>
  <c r="C93" i="1" s="1"/>
  <c r="A94" i="1"/>
  <c r="C94" i="1" s="1"/>
  <c r="A95" i="1"/>
  <c r="C95" i="1" s="1"/>
  <c r="A96" i="1"/>
  <c r="C96" i="1" s="1"/>
  <c r="A97" i="1"/>
  <c r="C97" i="1" s="1"/>
  <c r="A98" i="1"/>
  <c r="C98" i="1" s="1"/>
  <c r="A99" i="1"/>
  <c r="C99" i="1" s="1"/>
  <c r="A100" i="1"/>
  <c r="C100" i="1" s="1"/>
  <c r="A101" i="1"/>
  <c r="C101" i="1" s="1"/>
  <c r="A102" i="1"/>
  <c r="C102" i="1" s="1"/>
  <c r="A103" i="1"/>
  <c r="C103" i="1" s="1"/>
  <c r="A104" i="1"/>
  <c r="C104" i="1" s="1"/>
  <c r="A105" i="1"/>
  <c r="C105" i="1" s="1"/>
  <c r="A106" i="1"/>
  <c r="C106" i="1" s="1"/>
  <c r="A107" i="1"/>
  <c r="C107" i="1" s="1"/>
  <c r="A108" i="1"/>
  <c r="C108" i="1" s="1"/>
  <c r="A109" i="1"/>
  <c r="C109" i="1" s="1"/>
  <c r="A110" i="1"/>
  <c r="C110" i="1" s="1"/>
  <c r="A111" i="1"/>
  <c r="C111" i="1" s="1"/>
  <c r="A112" i="1"/>
  <c r="C112" i="1" s="1"/>
  <c r="A113" i="1"/>
  <c r="C113" i="1" s="1"/>
  <c r="A114" i="1"/>
  <c r="C114" i="1" s="1"/>
  <c r="A115" i="1"/>
  <c r="C115" i="1" s="1"/>
  <c r="A116" i="1"/>
  <c r="C116" i="1" s="1"/>
  <c r="A117" i="1"/>
  <c r="C117" i="1" s="1"/>
  <c r="A118" i="1"/>
  <c r="C118" i="1" s="1"/>
  <c r="A119" i="1"/>
  <c r="C119" i="1" s="1"/>
  <c r="A120" i="1"/>
  <c r="C120" i="1" s="1"/>
  <c r="A121" i="1"/>
  <c r="C121" i="1" s="1"/>
  <c r="A122" i="1"/>
  <c r="C122" i="1" s="1"/>
  <c r="A123" i="1"/>
  <c r="C123" i="1" s="1"/>
  <c r="A124" i="1"/>
  <c r="C124" i="1" s="1"/>
  <c r="A125" i="1"/>
  <c r="C125" i="1" s="1"/>
  <c r="A126" i="1"/>
  <c r="C126" i="1" s="1"/>
  <c r="A127" i="1"/>
  <c r="C127" i="1" s="1"/>
  <c r="B2" i="1" l="1"/>
</calcChain>
</file>

<file path=xl/sharedStrings.xml><?xml version="1.0" encoding="utf-8"?>
<sst xmlns="http://schemas.openxmlformats.org/spreadsheetml/2006/main" count="1020" uniqueCount="260">
  <si>
    <t>accepted</t>
  </si>
  <si>
    <t>Comparative Study of Rice Disease Detection Using ConvNeXt-Base and Conventional CNN Models</t>
  </si>
  <si>
    <t>Samuel Welson, S.Kom; Aniek Suryanti Kusuma; Putu Sugiartawan</t>
  </si>
  <si>
    <t>2026 Ninth International Conference on Vocational Education and Electrical Engineering (ICVEE)</t>
  </si>
  <si>
    <t>17-18 September 2026</t>
  </si>
  <si>
    <t>Surabaya, Indonesia</t>
  </si>
  <si>
    <t>Prof. Dr. Nurhayati, S.T., M.T.</t>
  </si>
  <si>
    <t>General Chair</t>
  </si>
  <si>
    <t>SentinelGuard-AI: Multi-Type Attack Detection Framework Using Natural Language Processing Processing (NLP) and Deep Q-Networks Reinforcement Learning (DQN-RL)</t>
  </si>
  <si>
    <t>Carlo Jude P Abuda; Kent Claire Apple Joy M Pallomina; Ketan Raju Kundiya; Cristina Dumdumaya</t>
  </si>
  <si>
    <t>Admission-to-Enrollment Outcome Forecasting Through Predictive Modeling for Visayas State University Alangalang</t>
  </si>
  <si>
    <t>Carlo Jude P Abuda; Kent Claire Apple Joy M Pallomina; Ronnie L. Luriaga; Maureen M Villamor</t>
  </si>
  <si>
    <t>The Efficacy of Large Language Model Tools in Solving Electrical Circuit Problems</t>
  </si>
  <si>
    <t>Mohamad Ramdhani; Athif Fadheel Atharahman; Suksmandhira Harimurti; Diyah Widiyasari</t>
  </si>
  <si>
    <t>Syntax-Preserving Diffusion Modeling of SQL Injection Attack Payloads Using Hilbert Space Feature Mapping</t>
  </si>
  <si>
    <t>Carlo Jude P Abuda; Kent Claire Apple Joy M Pallomina; Ketan Raju Kundiya</t>
  </si>
  <si>
    <t>An AI-Assisted QR-Based Assessment Model for Integrating Technical Mandarin and Vocational Competence in Indonesian Vocational Education</t>
  </si>
  <si>
    <t>S Sunarti</t>
  </si>
  <si>
    <t>Preliminary FPGA-Based Fixed-Point Feature Extraction for Anomaly Detection in Multi-Sensor Mechatronic Actuator Signals</t>
  </si>
  <si>
    <t>I Nyoman Kusuma Wardana; Ida Bagus Irawan Purnama; I Gusti Ngurah Agung Dwijaya Saputra; I Wayan Marlon Managi; Padma Nyoman Crisnapati; Dechrit Maneetham</t>
  </si>
  <si>
    <t>Design and Development of an Outseal PLC Mega-Based Trainer Kit as a Learning Tool for Electrical Motor Installation</t>
  </si>
  <si>
    <t>Mustofa Abi Hamid; Nuzulul Fikri; Irwanto; Muhammad Nurtanto; Bagus Dwi Cahyono; Muhammad Hakiki; Affero Ismail</t>
  </si>
  <si>
    <t>Comparative Analysis of GRU and LSTM for Microclimate Prediction in IoT-Enabled Smart Greenhouse</t>
  </si>
  <si>
    <t>Madukil Makruf; Mokh Sholihul Hadi; Ilham Ari Elbaith Zaeni; Masdukil Makruf</t>
  </si>
  <si>
    <t>E-Laag: Design, Development, and Evaluation of an Intelligent Mobile Tourism Application for Ubiquitous Travel Support</t>
  </si>
  <si>
    <t>Randy O. Descarten; Angielee G. Camarin</t>
  </si>
  <si>
    <t>Bagwis: A Co-Designed RPG-Based Ubiquitous Mobile Learning Application for Disaster Risk Reduction Education</t>
  </si>
  <si>
    <t>Jasten Keneth D Treceï¿½e</t>
  </si>
  <si>
    <t>Design and Evaluation of 923 MHz Inset-Fed Microstrip Antenna Arrays with 1x2 and 1x4 Configurations for LoRa Applications</t>
  </si>
  <si>
    <t>Afandi Sahputra; Syahrial; Teuku Yuliar Arif; Akhyar A; Yunida</t>
  </si>
  <si>
    <t>Enhancing Electricity Demand Forecasting Using Data Augmentation in a Hybrid Autoformer Framework (HAFF)</t>
  </si>
  <si>
    <t>Micheline Apolinar-Gotardo</t>
  </si>
  <si>
    <t>EEG Signal Analysis with sLORETA for Brain Mapping of Paper and Tablet Drawing in Early Childhood Education</t>
  </si>
  <si>
    <t>Osmalina Rahma; Sayyidul Istighfar Ittaqillah; Devito Andharu; Nafisa Rahmatul Laili Alami; Nita Lutfiyah; Dita Maryani; Rahadian Bisma; M Reza Ishadi Fadillah; Rifai Chai</t>
  </si>
  <si>
    <t>The Smart Scheduler: A Tri-Hybrid Graph-Genetic Approach to Departmental Exam Timetabling</t>
  </si>
  <si>
    <t>Milagros Engao; Ritchell S. Villafuerte; Jessie R. Paragas</t>
  </si>
  <si>
    <t>Neural Architecture Search: Combines Quantum-Inspired PSO with Gradient Descent for Automated Deep Learning Design</t>
  </si>
  <si>
    <t>Eko Puji Laksono; Aji P Wibawa; M. Zainal Arifin; Usman Nurhasan; Mohammad Arifin</t>
  </si>
  <si>
    <t>Vocational Education Management Information System (VEMIS) Design</t>
  </si>
  <si>
    <t>Nathanael Sitanggang; Arnita; Fanny Ramadhani; Putri Lynna Adelinna Luthan</t>
  </si>
  <si>
    <t>Performance Analysis and Optimization of Free Space Optical (FSO) Communication Systems in Severe Weather Conditions: A Study in Indonesia</t>
  </si>
  <si>
    <t>Jodhy Pradana; Miftadi Sudjai; Erna Sugesti</t>
  </si>
  <si>
    <t>An SDR-Based Communication System for Reliable Agricultural Data Transmission in Remote Areas</t>
  </si>
  <si>
    <t>Hendy Briantoro; Wahyu Pamungkas; Nilla Rachmaningrum; Muh Taufiq Nur Hidayat; Bima Pancara Haryono Putra</t>
  </si>
  <si>
    <t>ERICA: An AI-Based Humanoid Robot for Early Intervention Therapy in Children with Autism Pervasive Development Disorder</t>
  </si>
  <si>
    <t>Puput Wanarti Rusimamto; Muhammad Syariffuddien Zuhrie; Vivi Kurnia Herviani; Afrizal Luthfi Eka Arnatha; Dwi Aqidah</t>
  </si>
  <si>
    <t>The Effectiveness of PLC-HMI Based Power Synchronization Simulation in Improving Vocational Students' Psychomotor Learning Outcomes</t>
  </si>
  <si>
    <t>Astri Kusuma Wardhani</t>
  </si>
  <si>
    <t>Segmentation Approach to Improve the Efficiency of Concept Map Reconstruction Activity for Reading Support</t>
  </si>
  <si>
    <t>Ridwan Rismanto; Galih P Riatma; Usman Nurhasan; Endah Septa Sintiya</t>
  </si>
  <si>
    <t>Author Name Disambiguation in Digital Libraries via Hybrid VAE-DNN for Imbalanced Pairwise Matching</t>
  </si>
  <si>
    <t>Hamid Rahman; Usman Ependi</t>
  </si>
  <si>
    <t>SnakeSafe: Lightweight Deep Learning for Edge Native Venomous Snake Identification</t>
  </si>
  <si>
    <t>Dave Shanna Marie E. Gigawin; John Paul L. Ullegue; Maureen M Villamor; Leah O. Pelias</t>
  </si>
  <si>
    <t>Omniflow: An AI-Native Modular ERP Ecosystem with Integrated Observability for Intelligent Enterprise Systems</t>
  </si>
  <si>
    <t>Eric Julianto; Dian Alhusari; Safrizal Ardana Ardiyansa; Nurhikam; Fauzan Ihza Fajar; Amalan Fadil Gaib; Rachel Marta Maria; Nurul Andini; Anggito Karta Wijaya; Rahmatullah R</t>
  </si>
  <si>
    <t>GPS-Based Telematics for Decision-Making and Coal Stockpile Management Optimization: A Case Study of Digital Transformation in Indonesian Thermal Power</t>
  </si>
  <si>
    <t>Annisya Diaz Chandradewi</t>
  </si>
  <si>
    <t>Forecast-Driven Runoff Estimation and Community Flood Alert System for the Mainit River Using the SCS-CN Method</t>
  </si>
  <si>
    <t>Alexis Luke G Barlomento; Deborah G Brosas; Kent Claire Apple Joy M Pallomina</t>
  </si>
  <si>
    <t>MgTiO3-CaTiO3/Epoxy Composite as a Novel Substrate for Microstrip Patch Antenna Design</t>
  </si>
  <si>
    <t>Nurfarhana Mustafa; Nur Sofia Idayu Didik Aprianto; Imadeldin Elsayed Elmutasim; Nurhafizah Abu Talip Yusof; Mohamad Shaiful Abdul Karim</t>
  </si>
  <si>
    <t>E-Commerce Customer Behavior Analysis Using Web Analytics and Data Mining Based on Business Intelligence</t>
  </si>
  <si>
    <t>I Kadek Dwi Nuryana; Friskila Amanda Sipahutar</t>
  </si>
  <si>
    <t>Development of Artificial Intelligence-Based Analytics System for Licensure Examination Performance: A Study on BTLED-IA and BTLED-HE Students at MSU-MCEST</t>
  </si>
  <si>
    <t>Vedlin A. Talorete, Jr; Maureen M Villamor; Javer C. Borngo</t>
  </si>
  <si>
    <t>Comparing Q-Learning and Integer Linear Programming for Grid-Based Path Planning with Static Obstacles</t>
  </si>
  <si>
    <t>Cendra Devayana Putra; Bartolomeus Priya Perkasa Utama Widada; Pandu Dwi Luhur Pambudi; Berliana Devianti Putri; Erik Rahman</t>
  </si>
  <si>
    <t>Real-Time Location Monitoring System for Mountain Climbers Using GPS Tracker with LoRa-MQTT</t>
  </si>
  <si>
    <t>Fauziyah Wafa Abdillah; Aulia Istiqomah; Muhammad Irham Agil Kurniawan; Jatmiko Endro Suseno</t>
  </si>
  <si>
    <t>Perceived Risk, Trust, and Behavioral Intention to Use Generative AI: An Empirical Study Among Information Systems Students</t>
  </si>
  <si>
    <t>Erik Rahman; Muhammad Hakiki; Mohammad Wildan Habibi; Cendra Devayana Putra</t>
  </si>
  <si>
    <t>A Hybrid LSTM-DDPG Framework for Operating-Parameter Optimisation of a Two-Stage Transesterification Process</t>
  </si>
  <si>
    <t>Chardinal Butarbutar; Cendra Devayana Putra; Ikhsan Taipabu; Bartolomeus Priya Perkasa Utama Widada; Berliana Devianti Putri</t>
  </si>
  <si>
    <t>3D ResNet-50 for Brain Tumor MRI Classification: Glioma Grading on BraTS 2020 Dataset</t>
  </si>
  <si>
    <t>Abdur Rokhim; Hapsari Peni Agustin Tjahyaningtijas; Lusia Rakhmawati; Cucun Very Angkoso; Arik Kurniawati; I Ketut Eddy Purnama</t>
  </si>
  <si>
    <t>Effectiveness of a Validated Solar Cell Training Tool in Renewable Energy Education: Impact on Student Engagement and Learning Motivation</t>
  </si>
  <si>
    <t>Aditya Alpha Theodore</t>
  </si>
  <si>
    <t>Design and Performance Evaluation of a Real-Time Dual-Sensor Alcohol Detection for Halal Beverage Verification</t>
  </si>
  <si>
    <t>Amanu Isdadan; Ahmad Fauzan Adziimaa</t>
  </si>
  <si>
    <t>Implementation of Project-Based Learning Assisted by FEA 2D Frame to Support SDGs 4 in Static Determinate Structure Analysis Learning</t>
  </si>
  <si>
    <t>Muhammad Habib Alfian; Heri Suryaman; Muhammad Kris Yuan Hidayatulloh; Muhammad Adib Kurniawan</t>
  </si>
  <si>
    <t>Wideband Single-Port Cavity-Backed T-Shaped Monopole Antenna for Sub-6 GHz 5G Indoor Base Station Applications</t>
  </si>
  <si>
    <t>Said Douhi; Ahmed Jamal Abdullah Al-Gburi; Adil Eddiai</t>
  </si>
  <si>
    <t>Techno-Economic Feasibility of Sorghum Stalk Biomass Aggregation for Coal-Fired Power Plant Co-Firing in Indonesia</t>
  </si>
  <si>
    <t>Trassanda Scudetto Widestomo Putra; Eri Prabowo</t>
  </si>
  <si>
    <t>Optimizing Sustainable Performance Through Artificial Intelligence and Digital Literacy: An Analysis of the Moderating Role of Self-Confidence in Supporting SDG</t>
  </si>
  <si>
    <t>Muhammad Kris Yuan Hidayatulloh; Hilyah Ashoumi; Muhammad Habib Alfian; Omer CobanoÄŸlu</t>
  </si>
  <si>
    <t>Will-Skill-Tool Determinants of Digital Technology Integration Behavior Among Vocational High School Teachers</t>
  </si>
  <si>
    <t>Muhammad Oka Ramadhan; Dedi Rohendi; Thomas Koehler; Mustika Nuramalia Handayani; Ana</t>
  </si>
  <si>
    <t>Bio-Clinical BERT-Based Telemedicine System for Medical Diagnosis Classification and Procedure Recommendation in the Indonesian Healthcare Context</t>
  </si>
  <si>
    <t>Muhammad Andika Fadilla; Usman Ependi</t>
  </si>
  <si>
    <t>Explaining Continuance Intention Toward GenAI for Academic Task: The Role of Task-Technology Fit and Satisfaction</t>
  </si>
  <si>
    <t>Anggraeni Widya Purwita; Sri Suryanti; Riza Akhsani Setyo Prayoga; Anisa Yunita Sari; Mala Rosa Aprillya; Ying Wang</t>
  </si>
  <si>
    <t>Mobile-Based Inventory Management Application Development for Oh!Some Using Scrum Method</t>
  </si>
  <si>
    <t>Muhamad Priadika Tribuwono; Mochamad Hakim Haiman; Gorga Hosa Deo; Riyan Leandros</t>
  </si>
  <si>
    <t>A Proposed Conceptual Model of Integrated Factors Influencing E-Government in Developing Countries: A TOEI Perspective</t>
  </si>
  <si>
    <t>Beny Prasetyo; Siti Rochimah; Tony Dwi Susanto</t>
  </si>
  <si>
    <t>Information Systems Management of Smart Mobility for Sustainable Public Transport in Surabaya, Indonesia</t>
  </si>
  <si>
    <t>Deby Febriyan Eprilianto; Yuyun Eka Kartika Sari; Meirnawati Meirinawati; Indah Prabawati; Lisa Amelia Sari; Eni Febrianti</t>
  </si>
  <si>
    <t>Comparison of Spectral Clustering and K-Means Methods for Cluster Analysis of Tuberculosis Data in Indonesia</t>
  </si>
  <si>
    <t>A'yunin Sofro; Mayang Ariani Fitria Ananta; Khusnia Nurul Khikmah</t>
  </si>
  <si>
    <t>Reinforcement Learning-Based Tuning of LQR Weighting Matrices for Quadcopter Trajectory Tracking</t>
  </si>
  <si>
    <t>Yandhika Surya Akbar Gumilang; Suko Wiyanto; Ali Nur Fathoni; Rifqi Firmansyah; Wahyu Sasongko Putro; Nur Fitria</t>
  </si>
  <si>
    <t>Development of Visual Novel Game as History Learning Medium Integrated with Digital Ethics</t>
  </si>
  <si>
    <t>Nanditya Vianti Putri; Febri Liantoni; Cucuk Budiyanto</t>
  </si>
  <si>
    <t>RAG-Based Automated Question Generation System for the Learning Management System Balai Diklat Keagamaan Denpasar</t>
  </si>
  <si>
    <t>I Gusti Ngurah Suariana; Aniek Suryanti Kusuma; I Putu Agus Eka Darma Udayana; Putu Sugiartawan; Ni Wayan Sumartini Saraswati; Kadek Gemilang Santiyuda</t>
  </si>
  <si>
    <t>Deep Learning-Based Recommendation System for Career Path Prediction in Vocational Education</t>
  </si>
  <si>
    <t>Sugeng Hari Wibowo; Aniek Suryanti Kusuma; I Putu Agus Eka Darma Udayana; Putu Sugiartawan; Ni Wayan Sumartini Saraswati; Kadek Gemilang Santiyuda</t>
  </si>
  <si>
    <t>Hyperparameter XGBoost-Based Recommendation System for Student Disciplinary Intervention</t>
  </si>
  <si>
    <t>Sugito O; Aniek Suryanti Kusuma; Kadek Gemilang Santiyuda; I Putu Agus Eka Darma Udayana; Putu Sugiartawan; Ni Wayan Sumartini Saraswati</t>
  </si>
  <si>
    <t>Explainable Machine Learning-Based Competency Gap Analysis for Predicting Workforce Readiness of Electrical Engineering Education Graduates</t>
  </si>
  <si>
    <t>Ali Nur Fathoni; Alfredo Arianto Permana Putra; Inaya Retno Putri; Khusnul Khotimah; L Endah Cahya Ningrum; Ismet Basuki; Subuh Haryudo; Yuli Sutoto Nugroho</t>
  </si>
  <si>
    <t>CLAHE-Enhanced YOLO Models for Crowd Counting Under Sunset Illumination in Beach Club Surveillance</t>
  </si>
  <si>
    <t>I Gusti Bagus Wiraditya; Putu Sugiartawan; Kadek Gemilang Santiyuda; Aniek Suryanti Kusuma; Ni Wayan Sumartini Saraswati; I Putu Agus Eka Darma Udayana</t>
  </si>
  <si>
    <t>Smart IoT-Based Overcurrent and Overheat Protection System for Flat-Die Pellet Machine Using DC Motor Simulation</t>
  </si>
  <si>
    <t>I Made Kurniawan Putra; Aniek Suryanti Kusuma; I Putu Agus Eka Darma Udayana; Putu Sugiartawan; Ni Wayan Sumartini Saraswati; Kadek Gemilang Santiyuda</t>
  </si>
  <si>
    <t>Odoo-Based Enterprise Resource Planning Implementation for Sales Management: A Quickstart Method Approach</t>
  </si>
  <si>
    <t>Titus Kristanto; Cita Lentera Liagum Putri; Krisnayanti Aditasari</t>
  </si>
  <si>
    <t>RAG for Automatic Scoring of Concept-Map Propositions: A Pilot Study on Explanation Grounding and Retrieval Quality</t>
  </si>
  <si>
    <t>Maskur; Didik Dwi Prasetya; Triyanna Widiyaningtyas; Wan Mohd Nasir Wan Kadir</t>
  </si>
  <si>
    <t>Moringa Leaf Quality Classification Using XGBoost, Random Forest, and Support Vector Machine</t>
  </si>
  <si>
    <t>I Gusti Ngurah Hendra Frasetya; Putu Sugiartawan; Ngakan Putu Darma Yasa; I Putu Agus Eka Darma Udayana; Ni Wayan Sumartini Saraswati; I Dewa Ayu Sri Murdhani</t>
  </si>
  <si>
    <t>Classification of Karangasem Snake Fruit Types Based on Digital Images Using MobileNetV2 Transfer Learning</t>
  </si>
  <si>
    <t>I Wayan Sumarno</t>
  </si>
  <si>
    <t>Analysis of the Role of Generative AI in Enhancing Human-in-the-Loop-Based Customer Service Communication</t>
  </si>
  <si>
    <t>I Gusti Ngurah Bagus Widiatmika; Putu Sugiartawan; I Putu Agus Eka Darma Udayana</t>
  </si>
  <si>
    <t>Sensitivity Evaluation of k-Values in Outlier-Aware k-Means and k-NN Algorithms for Network Intrusion Anomaly Identification</t>
  </si>
  <si>
    <t>Anisa Dzulkarnain; Mochamad Nizar Palefi Ma'ady; Arip Ramadan; Berlian Rahmy Lidiawaty</t>
  </si>
  <si>
    <t>Sea Hunter Amerta 1 Firefighter Autonomous Surface Vehicle as Maritime Technology for Ship Fire Accident Evacuation Using YOLOv11</t>
  </si>
  <si>
    <t>Parama Diptya Widayaka; Sayyidul Aulia Alamsyah; Yandhika Surya Akbar Gumilang; Rifqi Firmansyah; Muhammad Rizqi Firjatullah Al-Azizi; Mulia Niko Adi Prasojo; Aleminaitha Kerina Beru Ginting</t>
  </si>
  <si>
    <t>Random Phase Pre-Coding for Quantization Lobe Suppression in Passive 1-Bit Programmable RIS</t>
  </si>
  <si>
    <t>Safpbri Johari; Azuwa Ali; Mohd Najib Mohd Yasin; Nurhayati; Arif Mawardi Ismail; Ismahayati Adam; Unit Three Kartini; Mohd Amirul Helmi Ismail</t>
  </si>
  <si>
    <t>Attention-Enhanced Multi-Output LSTM for Multi-Aspect Sentiment Understanding in Indonesian Fashion Marketplace</t>
  </si>
  <si>
    <t>Fajar Romadhan; Ari Muzakir; Usman Ependi; Andri</t>
  </si>
  <si>
    <t>Enhanced Moringa Leaf Quality Classification Using Vision Transformer and GAN-Based Data Augmentation</t>
  </si>
  <si>
    <t>Selvisiana Karmilan; Putu Sugiartawan; Ketut Sepdyana Kartini; Putu Wirayudi Aditama; Ayu Gede Willdahlia; I Dewa Ayu Sri Murdhani</t>
  </si>
  <si>
    <t>Analysis of Entrepreneurial Intention Among Students Using the Resource-Based View Theory</t>
  </si>
  <si>
    <t>Abdullah Billman; Choi Sang Long Choi Sang Long; Chandra Restu Pradipto; Isanawikrama; Aloysius Bernanda Gunawan; Bambang Pratama</t>
  </si>
  <si>
    <t>A Novel Nonlinear Controller for Medical Furnace Temperature Control</t>
  </si>
  <si>
    <t>Layla Hattim Abood; Mustafa Q. Ali; Marwa F Jassim</t>
  </si>
  <si>
    <t>Advanced Control of PV-Cascade Boost DC-DC and Three-Leg Single-Phase Inverter Using Double-Loop Control</t>
  </si>
  <si>
    <t>Albertus Andika Tri Anggoro; Leonardus Heru Pratomo</t>
  </si>
  <si>
    <t>Predicting Students' Behavioral Intention to Adopt Generative AI Tools: Evidence from an Indonesian Higher Education Context</t>
  </si>
  <si>
    <t>Ayu Gede Willdahlia; Desak Made Dwi Utami Putra; Anak Agung Gde Ekayana; Aniek Suryanti Kusuma; Komang Kurniawan Widiartha</t>
  </si>
  <si>
    <t>Development of Contextual Teaching and Learning-Based Robotics Learning Devices for Vocational Education</t>
  </si>
  <si>
    <t>Muhammad Syariffuddien Zuhrie; Agus Wiyono; Fendi Achmad; Dwi Aqidah; Afrizal Luthfi Eka Arnatha; Muhammad Nawwarudin</t>
  </si>
  <si>
    <t>Design and Evaluation of an IoT-Based EMG Monitoring System for Contraction Level Classification</t>
  </si>
  <si>
    <t>Erika Loniza; Nadya Ananda Melia; Kurnia Chairunnisa; Intan Mutiara Putri; Wiwik Puspita Dewi; Hanifah Rahmi Fajrin</t>
  </si>
  <si>
    <t>Identification of Students Learning Styles in Digital Environments: A Systematic Review of Kolb's Model</t>
  </si>
  <si>
    <t>Aditya Sheva Pratama; Febri Liantoni</t>
  </si>
  <si>
    <t>Implementation and Performance Evaluation of Rule-Based Systems in Educational Assessment</t>
  </si>
  <si>
    <t>Muhammad Fahry Ali; Febri Liantoni</t>
  </si>
  <si>
    <t>ANFIS-Based Rotational Speed Control of an Oil-Draining Spinner for Banana Chips</t>
  </si>
  <si>
    <t>Pungky Alvina Prasistya; Putri Y Aisyah; Akhmad Ibnu Hija; Muhammad Roy Ashiddiqi; Shintyana Dewi</t>
  </si>
  <si>
    <t>Parametric Analysis of Dielectric Loss in Pineapple Leaf Fiber Composites for RF Applications</t>
  </si>
  <si>
    <t>Siti Nur Hidayah Zamri; Mohamad Shaiful Abdul Karim; Hepi Ludiyati; Nurhafizah Abu Talip Yusof</t>
  </si>
  <si>
    <t>Machine Learning Based Sentiment Analysis for Islamic Banking Service Monitoring</t>
  </si>
  <si>
    <t>Ramdani; Moch. Khoirul Anwar; Clarashinta Canggih; Yan Putra Timur; Alfin Maulana; Anisa Fadilah Zustika</t>
  </si>
  <si>
    <t>Voltage-Mode Second-Order VCII-Based Universal Filter with Independent Controllability of Gain-Quality Factor and Pole Frequency</t>
  </si>
  <si>
    <t>Burin Theppota; Winai Jaikla; Montree Siripruchyanun</t>
  </si>
  <si>
    <t>Reimagining Engineering Education Through a Narrative-Driven Pedagogical Framework: Panj-Ganj Mode</t>
  </si>
  <si>
    <t>Parham Karimi; Roghayeh Gavagsaz-Ghoachani; Matheepot Phattanasak; Serge Pierfederici</t>
  </si>
  <si>
    <t>Design and Implementation of a Three-Phase Buck Chopper with Phase Leg Independent Current Regulation for Synchronous Generator Excitation</t>
  </si>
  <si>
    <t>Putri Christianti Harefa; Leonardus Heru Pratomo</t>
  </si>
  <si>
    <t>Comparative Analysis of YOLOv11 and MobileNetV3 with Bayesian Optimization for Balinese Character Recognition on Lontar Manuscript</t>
  </si>
  <si>
    <t>I Putu Agus Eka Darma Udayana; Putu Ayu Febyanti; I Putu Raditya Maheswara</t>
  </si>
  <si>
    <t>MechSim Laboratory: An Interactive Digital Learning Platform for Chassis Technology in Mechanical Engineering Education</t>
  </si>
  <si>
    <t>Muamar Zainul Arif; Yudha Bima Herlambang; Ahmad Zulkifli Baihaqi; Djoko Suwito, M.Pd.; Theodorus Wijayanto; Rafi Haidar Rifaldo</t>
  </si>
  <si>
    <t>Hybrid Ground Truth from Multi-Algorithm Consensus for Annotation-Efficient Carotid Ultrasound Segmentation</t>
  </si>
  <si>
    <t>Mifta Nur Farid; Tri Sardjono; Hendra Kusuma; Thomas Statheros; Vasile Palade</t>
  </si>
  <si>
    <t>Performance Comparison of Classical and Modern RAG Approaches in Multimodal-Based Academic Chatbots</t>
  </si>
  <si>
    <t>Yuni Yamasari; Kartika Wulandari; I Made Suartana; Agus Prihanto; Ricky Eka Putra; Anita Qoiriah</t>
  </si>
  <si>
    <t>A Construction-Based Multisensory Method for Teaching Boost Converter Topology, Equations, and Simulink Models</t>
  </si>
  <si>
    <t>Saman Pirehbabi; Fatemeh Zaker-Moghaddam; Roghayeh Gavagsaz-Ghoachani; Matheepot Phattanasak; Serge Pierfederici</t>
  </si>
  <si>
    <t>Neutral Current Analysis in Three-Phase Four-Wire Systems with Shunt Active Power Filtering Under Non-Linear Loads</t>
  </si>
  <si>
    <t>Hastupara Amurwojakti; Slamet Riyadi</t>
  </si>
  <si>
    <t>Confidence-Based Pseudo-Labeling IndoBERT for Aspect-Based Sentiment Analysis of Indonesian Fashion Reviews</t>
  </si>
  <si>
    <t>Alya Esa Mentari; Ari Muzakir; Edi Surya Negara; Megawaty</t>
  </si>
  <si>
    <t>A Comparative Analysis of StandardScaler and MinMaxScaler Normalization for Deep Neural Network-Based Dengue Fever Classification</t>
  </si>
  <si>
    <t>Ramadhani Vanva Fauzia; Mochamad Nizar Palefi Ma'ady; Berlian Rahmy Lidiawaty</t>
  </si>
  <si>
    <t>A Comparative Study of Reinforcement Learning-Based Daily and Time-Series PPO Agents for Raw Coffee Bean Inventory Management</t>
  </si>
  <si>
    <t>Stephanie Debora Assa; Mochamad Nizar Palefi Ma'ady; Berlian Rahmy Lidiawaty</t>
  </si>
  <si>
    <t>When Intelligent Assistance Becomes Academic Strain: Psychological Pathways Among Engineering Students in AI-Assisted Learning</t>
  </si>
  <si>
    <t>Bima Yatna Anugerah Ramadhani; Ratna Suhartini; Umi Aslamiyah; Januar Nur Rohmah Suprihartini; Yasmine Mnassri</t>
  </si>
  <si>
    <t>SkinMatch: A Wide &amp; Deep Learning Recommender Enhanced with Factorization Machines for Personalized Skincare Product Recommendation</t>
  </si>
  <si>
    <t>Ervin Yohannes</t>
  </si>
  <si>
    <t>CL-AdaViT: Characterizing Failure Modes of Closed-Loop Adaptive Token Selection for Limited-Data Face Verification</t>
  </si>
  <si>
    <t>Juris Vassa Ivandro; Mohamad Agung Prawira Negara; Bayu Taruna WIdjaja Putra</t>
  </si>
  <si>
    <t>Redesigning a Legacy University Dashboard Using Design Thinking to Support Real-Time Institutional Decision Making</t>
  </si>
  <si>
    <t>Rindu Wibawa; I Gusti Lanang Putra Eka Prismana; Yeni Anistyasari</t>
  </si>
  <si>
    <t>Exploring Personalization, Feedback Mechanisms, and Global Research Trends of Artificial Intelligence in Vocational Education Assessment</t>
  </si>
  <si>
    <t>Dwi Fitria Al Husaeni; Amay Suherman; Budi Mulyanti; Ade Abdullah; Lala Septem Riza; Eki Nugraha</t>
  </si>
  <si>
    <t>A Smart IoT-Based System for Automated Nutritional Status Assessment in Toddlers Using Anthropometric Measurements</t>
  </si>
  <si>
    <t>Ully Dhiya Marina; Pradini Puspitaningayu; Muhammad 'Aamir Nashrullah; Shafa Dyah Ayu Zahra</t>
  </si>
  <si>
    <t>STB-MING: Low-Cost Edge IoT Platform for Real-Time Plant Electrophysiological Signal Acquisition</t>
  </si>
  <si>
    <t>Rais Nurwahyudin; Khairul Anam; Saiful Bukhori</t>
  </si>
  <si>
    <t>Comparative Analysis of Passive and Active Cooling Technologies for Photovoltaic Module Thermal Management and Power Output Optimization</t>
  </si>
  <si>
    <t>Muhammad Raya Maulana; Triwahju Hardianto; Bambang Sujanarko</t>
  </si>
  <si>
    <t>Development of Cognitive Load-Based 2D Animated Multimedia to Improve Learning Efficiency</t>
  </si>
  <si>
    <t>Desak Made Dwi Utami Putra; Aniek Suryanti Kusuma; Anak Agung Gde Ekayana; Ayu Gede Willdahlia; I Made Adi Surya Natha</t>
  </si>
  <si>
    <t>Development of an Artificial Intelligence-Based Animal Feed Formulation Application as an Effort to Reduce Animal Manure Waste</t>
  </si>
  <si>
    <t>Ramadhan Cakra Wibawa; Nur Kholis Wakhid; Yudha Bima Herlambang; Ahmad Zulkifli Baihaqi; Cahya Dwi Rahmawati; Harun Al Rosyid; Anggraeni Widya Purwita</t>
  </si>
  <si>
    <t>Deep Learning App Development to Detect Plant Diseases in Indonesian Agriculture</t>
  </si>
  <si>
    <t>Ardhini Warih Utami; Muhammad Nizam Setiawan; Bartolomeus Priya Perkasa Utama Widada</t>
  </si>
  <si>
    <t>A Machine Learning Approach for Predicting Student Specialization: Classifier Comparison with Integrated Academic and Preference Features</t>
  </si>
  <si>
    <t>Martini Dwi Endah Susanti; Rindu Wibawa; Ramadhan Cakra Wibawa; Elvira Wardah; Ahmad Zulkifli Baihaqi; Nelani Shafatia Zulatifa</t>
  </si>
  <si>
    <t>An Integrated Web-Based Guidance and Counseling Service System with Automated Psychological Screening and Chatbot Triage for Engineering Students</t>
  </si>
  <si>
    <t>Dindy Sinta Megasari; Martini Dwi Endah Susanti; Sonia Pradita; Ramadhan Cakra Wibawa; Aries Indriyanti</t>
  </si>
  <si>
    <t>An Efficient First-Order All-Pass Filter with Single-Resistor Phase Control Using a Single VCII</t>
  </si>
  <si>
    <t>Burin Theppota; Wiset Saksiri; Montree Siripruchyanun</t>
  </si>
  <si>
    <t>A Carbon Monoxide Exposure Analysis for Motorcycle Riders Using Mobile Air Quality Monitoring System</t>
  </si>
  <si>
    <t>Alfiandi Aulia Rahmadani; Nobuo Funabiki; Htoo Htoo Sandi Kyaw; Noprianto Noprianto; Mustika Mentari; Yan Watequlis Syaifudin</t>
  </si>
  <si>
    <t>Feasibility Evaluation of an Adaptive, Explainable, and Gamified Expert System for Preliminary Stress Screening</t>
  </si>
  <si>
    <t>Putri Taqwa Prasetyaningrum; Usman Ependi; Ari Muzakir; Uci Suriani; Eka Puji Agustini; Marita Prasetyani</t>
  </si>
  <si>
    <t>Identifying Learner Satisfaction Factors Through Aspect-Based Sentiment Analysis of Indonesian German Language Course</t>
  </si>
  <si>
    <t>I Putu Agus Eka Darma Udayana; Angelika Deice Elizabeth Lantu</t>
  </si>
  <si>
    <t>Towards 6G-Oriented Disaster-Resilient Telecommunications: A Conceptual Taxonomy for Archipelagic Indonesia</t>
  </si>
  <si>
    <t>Fadli Sirait; Triyanto Pangaribowo; Fahraini Bacharudin; Jusoh Tajudin Mohd Taufik; Kaharudin Dimyati; Setiyo Budiyanto</t>
  </si>
  <si>
    <t>IndoRoBERTa-Based Cross-Modal Sentiment on Danantara Policy and IHSG Returns</t>
  </si>
  <si>
    <t>Wiyli Yustanti; I Kadek Dwi Nuryana; Cendra Devayana Putra; Monica Cinthya; Jiunn-Woei Lian</t>
  </si>
  <si>
    <t>Ontology and Natural Language Processing for Hierarchical Alignment Traceability in Outcome-Based Education</t>
  </si>
  <si>
    <t>Yeni Anistyasari; Ekohariadi; Shintami Chusnul Hidayati</t>
  </si>
  <si>
    <t>Deep Learning-Based Recognition of Lombok Songket Patterns Using Convolutional Neural Networks</t>
  </si>
  <si>
    <t>M Amrulloh; Putu Sugiartawan; I Putu Yoga Indrawan; Ni Wayan Sumartini Saraswati; I Gusti Ayu Agung Mas Aristamy</t>
  </si>
  <si>
    <t>A Dual-Stage Preprocessing Framework Using SRAD and CLAHE Combined with LBP-SVM for Breast Cancer Ultrasound Classification</t>
  </si>
  <si>
    <t>Hesti Khuzaimah Nurul Yusufiyah; Mukhammad Junizar Firmansyah; Anisja Noni Kartikasari; Fika Nur Aini; Sayyidul Aulia Alamsyah; Namira Jannah; Galih Ramadhani Muhammad</t>
  </si>
  <si>
    <t>Synthetic Data Augmentation Using GAN for Improved MobileNetV3-Based Moringa Leaf Classification</t>
  </si>
  <si>
    <t>I Dewa Gede Dika Mahendra; Putu Sugiartawan; Aniek Suryanti Kusuma</t>
  </si>
  <si>
    <t>Optimization of N-Dpid Control Using the Grey Wolf Optimizer Algorithm for Power Stability in a Hybrid Energy Storage System</t>
  </si>
  <si>
    <t>Lintang Deni Laksana; Sujito; Afifah Zahirah; M. Fazlur Rahman Addakhil; Mohamad Rodhi Faiz; Chelsea Aulia Arnelita</t>
  </si>
  <si>
    <t>Deep Reinforcement Learning-Based MIMO Controller Design for Maximum Energy Efficiency in Electric Vehicles</t>
  </si>
  <si>
    <t>Puput Wanarti Rusimamto</t>
  </si>
  <si>
    <t>Transfer Learning-Based Wayang Puppet Classification Using ConvNeXt-XLarge Architecture</t>
  </si>
  <si>
    <t>I Dewa Putu Gede Wiyata Putra; Putu Sugiartawan; I Dewa Ayu Sri Murdhani; I Nyoman Agus Suarya Putra; I Nyoman Alit Arsana</t>
  </si>
  <si>
    <t>Smartphone-Based Image Dataset for Dried Moringa Leaf Quality Classification Under Multiple Acquisition Conditions</t>
  </si>
  <si>
    <t>Putu Sugiartawan</t>
  </si>
  <si>
    <t>Comparative Study of Cased and Uncased BERT Models for Intent Classification in Natural Language Understanding</t>
  </si>
  <si>
    <t>Kadek Nonik Erawati; Putu Sugiartawan; I Dewa Ayu Sri Murdhani; I Nyoman Agus Suarya Putra; I Nyoman Alit Arsana</t>
  </si>
  <si>
    <t>MILP-Based Appliance Scheduling for Energy and Cost Optimization in IoT-Enabled Smart Home Systems</t>
  </si>
  <si>
    <t>Mohammad Noer Dafiq; Grezio Arifiyan; Arif Basofi; Sritrusta Sukaridhoto; Wahyu Nur Hidayat; Damar Galih Aji; Daffa Muhammad Irhamni</t>
  </si>
  <si>
    <t>Chicken Health Classification Based on Vocalizations Using Convolutional Neural Network (CNN)</t>
  </si>
  <si>
    <t>Nurwahid Rahman; Risdilah Mimma Untsa; Fannush Shofi Akbar; Arrizky Ayu Faradila Purnama; Muhsin</t>
  </si>
  <si>
    <t>Comparison of BER OTFS and OFDM Performance on FANET-Based WSN in Hovering and High Mobility Scheme</t>
  </si>
  <si>
    <t>Miftahur Rohman; Titiek Suryani; Ahmad Sirojuddin; Rifqi Firmansyah</t>
  </si>
  <si>
    <t>Design and Simulation of Compact Meander Line Antenna on Felt Substrate at 915 MHz Band for LoRa Application</t>
  </si>
  <si>
    <t>Rizky Febriabsyah</t>
  </si>
  <si>
    <t>Generative AI-Based Reading Literacy Assessment System for Independent Learning in Resource-Constrained Educational Environments</t>
  </si>
  <si>
    <t>Abiyasa Putra Prasetya; Yan Watequlis Syaifudin; Rakhmat Arianto; Mustika Mentari; Triana Fatmawati; Pramana Yoga Saputra</t>
  </si>
  <si>
    <t>Integrated PHP Programming Learning Modules with Automated Assessment: From Basic Syntax to RESTful API Development</t>
  </si>
  <si>
    <t>Yan Watequlis Syaifudin; Triana Fatmawati; Pramana Yoga Saputra; Nobuo Funabiki; Mustika Mentari; Yuri Ariyanto</t>
  </si>
  <si>
    <t>Design and Analysis of Wearable Antenna for Smart Health Monitoring Applications</t>
  </si>
  <si>
    <t>Anusha K; Manjuri Duraimurugan</t>
  </si>
  <si>
    <t>Digital Knowledge Platform for Basic Electrical Systems</t>
  </si>
  <si>
    <t>Yulia Fransisca; Subuh Haryudo; Heri Suryaman; Hanif Rifai Adha</t>
  </si>
  <si>
    <t>000</t>
  </si>
  <si>
    <t>Ada</t>
  </si>
  <si>
    <t>Rifqi Abdillah</t>
  </si>
  <si>
    <t>USD 180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</si>
</sst>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5" fontId="0" fillId="0" borderId="0" xfId="0" applyNumberFormat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EC83B3-BC2A-4809-B2F8-BB2F25E0028C}">
  <dimension ref="A1:M127"/>
  <sheetViews>
    <sheetView tabSelected="1" topLeftCell="A101" workbookViewId="0">
      <selection sqref="A1:A127"/>
    </sheetView>
  </sheetViews>
  <sheetFormatPr defaultRowHeight="14.4" x14ac:dyDescent="0.3"/>
  <cols>
    <col min="3" max="3" width="50.33203125" bestFit="1" customWidth="1"/>
    <col min="4" max="4" width="11" style="2" bestFit="1" customWidth="1"/>
    <col min="5" max="5" width="8.5546875" bestFit="1" customWidth="1"/>
    <col min="6" max="6" width="137.88671875" bestFit="1" customWidth="1"/>
    <col min="7" max="7" width="158.21875" bestFit="1" customWidth="1"/>
    <col min="8" max="8" width="9.33203125" bestFit="1" customWidth="1"/>
    <col min="9" max="9" width="78.33203125" bestFit="1" customWidth="1"/>
    <col min="10" max="10" width="19.33203125" bestFit="1" customWidth="1"/>
    <col min="11" max="11" width="17.33203125" bestFit="1" customWidth="1"/>
    <col min="12" max="12" width="24.33203125" bestFit="1" customWidth="1"/>
    <col min="13" max="13" width="12.109375" bestFit="1" customWidth="1"/>
  </cols>
  <sheetData>
    <row r="1" spans="1:13" x14ac:dyDescent="0.3">
      <c r="A1" t="s">
        <v>257</v>
      </c>
      <c r="B1">
        <v>100</v>
      </c>
      <c r="C1" t="s">
        <v>258</v>
      </c>
      <c r="D1" s="2" t="s">
        <v>256</v>
      </c>
      <c r="E1" t="s">
        <v>0</v>
      </c>
      <c r="F1" t="s">
        <v>1</v>
      </c>
      <c r="G1" t="s">
        <v>2</v>
      </c>
      <c r="H1" s="1">
        <v>46247</v>
      </c>
      <c r="I1" t="s">
        <v>3</v>
      </c>
      <c r="J1" t="s">
        <v>4</v>
      </c>
      <c r="K1" t="s">
        <v>5</v>
      </c>
      <c r="L1" t="s">
        <v>6</v>
      </c>
      <c r="M1" t="s">
        <v>7</v>
      </c>
    </row>
    <row r="2" spans="1:13" x14ac:dyDescent="0.3">
      <c r="A2" t="str">
        <f>IF(COUNTIF(Sheet2!A:A,D2)&gt;0,"Ada","Tidak Ada")</f>
        <v>Tidak Ada</v>
      </c>
      <c r="B2" t="str">
        <f>IF(A2="Ada",IF(IFERROR(VLOOKUP(D2,Sheet2!B:B,2,FALSE),"")="",IFERROR(VLOOKUP(D2,Sheet2!B:B,3,FALSE),""),VLOOKUP(D2,Sheet2!B:B,2,FALSE)),"")</f>
        <v/>
      </c>
      <c r="C2" t="str">
        <f>IF(A2="Ada",IF(IFERROR(VLOOKUP(D2,Sheet2!A:D,2,FALSE),"")="",IFERROR(VLOOKUP(D2,Sheet2!A:D,3,FALSE),""),VLOOKUP(D2,Sheet2!A:D,2,FALSE)),"")</f>
        <v/>
      </c>
      <c r="D2" s="2">
        <v>1571257569</v>
      </c>
      <c r="E2" t="s">
        <v>0</v>
      </c>
      <c r="F2" t="s">
        <v>1</v>
      </c>
      <c r="G2" t="s">
        <v>2</v>
      </c>
      <c r="H2" s="1">
        <v>46247</v>
      </c>
      <c r="I2" t="s">
        <v>3</v>
      </c>
      <c r="J2" t="s">
        <v>4</v>
      </c>
      <c r="K2" t="s">
        <v>5</v>
      </c>
      <c r="L2" t="s">
        <v>6</v>
      </c>
      <c r="M2" t="s">
        <v>7</v>
      </c>
    </row>
    <row r="3" spans="1:13" x14ac:dyDescent="0.3">
      <c r="A3" t="str">
        <f>IF(COUNTIF(Sheet2!A:A,D3)&gt;0,"Ada","Tidak Ada")</f>
        <v>Ada</v>
      </c>
      <c r="C3">
        <f>IF(A3="Ada",IF(IFERROR(VLOOKUP(D3,Sheet2!A:D,2,FALSE),"")="",IFERROR(VLOOKUP(D3,Sheet2!A:D,3,FALSE),""),VLOOKUP(D3,Sheet2!A:D,2,FALSE)),"")</f>
        <v>0</v>
      </c>
      <c r="D3" s="2">
        <v>1571267469</v>
      </c>
      <c r="E3" t="s">
        <v>0</v>
      </c>
      <c r="F3" t="s">
        <v>8</v>
      </c>
      <c r="G3" t="s">
        <v>9</v>
      </c>
      <c r="H3" s="1">
        <v>46247</v>
      </c>
      <c r="I3" t="s">
        <v>3</v>
      </c>
      <c r="J3" t="s">
        <v>4</v>
      </c>
      <c r="K3" t="s">
        <v>5</v>
      </c>
      <c r="L3" t="s">
        <v>6</v>
      </c>
      <c r="M3" t="s">
        <v>7</v>
      </c>
    </row>
    <row r="4" spans="1:13" x14ac:dyDescent="0.3">
      <c r="A4" t="str">
        <f>IF(COUNTIF(Sheet2!A:A,D4)&gt;0,"Ada","Tidak Ada")</f>
        <v>Ada</v>
      </c>
      <c r="C4">
        <f>IF(A4="Ada",IF(IFERROR(VLOOKUP(D4,Sheet2!A:D,2,FALSE),"")="",IFERROR(VLOOKUP(D4,Sheet2!A:D,3,FALSE),""),VLOOKUP(D4,Sheet2!A:D,2,FALSE)),"")</f>
        <v>0</v>
      </c>
      <c r="D4" s="2">
        <v>1571267484</v>
      </c>
      <c r="E4" t="s">
        <v>0</v>
      </c>
      <c r="F4" t="s">
        <v>10</v>
      </c>
      <c r="G4" t="s">
        <v>11</v>
      </c>
      <c r="H4" s="1">
        <v>46247</v>
      </c>
      <c r="I4" t="s">
        <v>3</v>
      </c>
      <c r="J4" t="s">
        <v>4</v>
      </c>
      <c r="K4" t="s">
        <v>5</v>
      </c>
      <c r="L4" t="s">
        <v>6</v>
      </c>
      <c r="M4" t="s">
        <v>7</v>
      </c>
    </row>
    <row r="5" spans="1:13" x14ac:dyDescent="0.3">
      <c r="A5" t="str">
        <f>IF(COUNTIF(Sheet2!A:A,D5)&gt;0,"Ada","Tidak Ada")</f>
        <v>Ada</v>
      </c>
      <c r="C5">
        <f>IF(A5="Ada",IF(IFERROR(VLOOKUP(D5,Sheet2!A:D,2,FALSE),"")="",IFERROR(VLOOKUP(D5,Sheet2!A:D,3,FALSE),""),VLOOKUP(D5,Sheet2!A:D,2,FALSE)),"")</f>
        <v>2300967</v>
      </c>
      <c r="D5" s="2">
        <v>1571267967</v>
      </c>
      <c r="E5" t="s">
        <v>0</v>
      </c>
      <c r="F5" t="s">
        <v>12</v>
      </c>
      <c r="G5" t="s">
        <v>13</v>
      </c>
      <c r="H5" s="1">
        <v>46247</v>
      </c>
      <c r="I5" t="s">
        <v>3</v>
      </c>
      <c r="J5" t="s">
        <v>4</v>
      </c>
      <c r="K5" t="s">
        <v>5</v>
      </c>
      <c r="L5" t="s">
        <v>6</v>
      </c>
      <c r="M5" t="s">
        <v>7</v>
      </c>
    </row>
    <row r="6" spans="1:13" x14ac:dyDescent="0.3">
      <c r="A6" t="str">
        <f>IF(COUNTIF(Sheet2!A:A,D6)&gt;0,"Ada","Tidak Ada")</f>
        <v>Ada</v>
      </c>
      <c r="C6">
        <f>IF(A6="Ada",IF(IFERROR(VLOOKUP(D6,Sheet2!A:D,2,FALSE),"")="",IFERROR(VLOOKUP(D6,Sheet2!A:D,3,FALSE),""),VLOOKUP(D6,Sheet2!A:D,2,FALSE)),"")</f>
        <v>0</v>
      </c>
      <c r="D6" s="2">
        <v>1571268176</v>
      </c>
      <c r="E6" t="s">
        <v>0</v>
      </c>
      <c r="F6" t="s">
        <v>14</v>
      </c>
      <c r="G6" t="s">
        <v>15</v>
      </c>
      <c r="H6" s="1">
        <v>46247</v>
      </c>
      <c r="I6" t="s">
        <v>3</v>
      </c>
      <c r="J6" t="s">
        <v>4</v>
      </c>
      <c r="K6" t="s">
        <v>5</v>
      </c>
      <c r="L6" t="s">
        <v>6</v>
      </c>
      <c r="M6" t="s">
        <v>7</v>
      </c>
    </row>
    <row r="7" spans="1:13" x14ac:dyDescent="0.3">
      <c r="A7" t="str">
        <f>IF(COUNTIF(Sheet2!A:A,D7)&gt;0,"Ada","Tidak Ada")</f>
        <v>Ada</v>
      </c>
      <c r="C7">
        <f>IF(A7="Ada",IF(IFERROR(VLOOKUP(D7,Sheet2!A:D,2,FALSE),"")="",IFERROR(VLOOKUP(D7,Sheet2!A:D,3,FALSE),""),VLOOKUP(D7,Sheet2!A:D,2,FALSE)),"")</f>
        <v>2300336</v>
      </c>
      <c r="D7" s="2">
        <v>1571273336</v>
      </c>
      <c r="E7" t="s">
        <v>0</v>
      </c>
      <c r="F7" t="s">
        <v>16</v>
      </c>
      <c r="G7" t="s">
        <v>17</v>
      </c>
      <c r="H7" s="1">
        <v>46247</v>
      </c>
      <c r="I7" t="s">
        <v>3</v>
      </c>
      <c r="J7" t="s">
        <v>4</v>
      </c>
      <c r="K7" t="s">
        <v>5</v>
      </c>
      <c r="L7" t="s">
        <v>6</v>
      </c>
      <c r="M7" t="s">
        <v>7</v>
      </c>
    </row>
    <row r="8" spans="1:13" x14ac:dyDescent="0.3">
      <c r="A8" t="str">
        <f>IF(COUNTIF(Sheet2!A:A,D8)&gt;0,"Ada","Tidak Ada")</f>
        <v>Ada</v>
      </c>
      <c r="C8">
        <f>IF(A8="Ada",IF(IFERROR(VLOOKUP(D8,Sheet2!A:D,2,FALSE),"")="",IFERROR(VLOOKUP(D8,Sheet2!A:D,3,FALSE),""),VLOOKUP(D8,Sheet2!A:D,2,FALSE)),"")</f>
        <v>3000780</v>
      </c>
      <c r="D8" s="2">
        <v>1571279780</v>
      </c>
      <c r="E8" t="s">
        <v>0</v>
      </c>
      <c r="F8" t="s">
        <v>18</v>
      </c>
      <c r="G8" t="s">
        <v>19</v>
      </c>
      <c r="H8" s="1">
        <v>46247</v>
      </c>
      <c r="I8" t="s">
        <v>3</v>
      </c>
      <c r="J8" t="s">
        <v>4</v>
      </c>
      <c r="K8" t="s">
        <v>5</v>
      </c>
      <c r="L8" t="s">
        <v>6</v>
      </c>
      <c r="M8" t="s">
        <v>7</v>
      </c>
    </row>
    <row r="9" spans="1:13" x14ac:dyDescent="0.3">
      <c r="A9" t="str">
        <f>IF(COUNTIF(Sheet2!A:A,D9)&gt;0,"Ada","Tidak Ada")</f>
        <v>Ada</v>
      </c>
      <c r="C9">
        <f>IF(A9="Ada",IF(IFERROR(VLOOKUP(D9,Sheet2!A:D,2,FALSE),"")="",IFERROR(VLOOKUP(D9,Sheet2!A:D,3,FALSE),""),VLOOKUP(D9,Sheet2!A:D,2,FALSE)),"")</f>
        <v>2100074</v>
      </c>
      <c r="D9" s="2">
        <v>1571280074</v>
      </c>
      <c r="E9" t="s">
        <v>0</v>
      </c>
      <c r="F9" t="s">
        <v>20</v>
      </c>
      <c r="G9" t="s">
        <v>21</v>
      </c>
      <c r="H9" s="1">
        <v>46247</v>
      </c>
      <c r="I9" t="s">
        <v>3</v>
      </c>
      <c r="J9" t="s">
        <v>4</v>
      </c>
      <c r="K9" t="s">
        <v>5</v>
      </c>
      <c r="L9" t="s">
        <v>6</v>
      </c>
      <c r="M9" t="s">
        <v>7</v>
      </c>
    </row>
    <row r="10" spans="1:13" x14ac:dyDescent="0.3">
      <c r="A10" t="str">
        <f>IF(COUNTIF(Sheet2!A:A,D10)&gt;0,"Ada","Tidak Ada")</f>
        <v>Ada</v>
      </c>
      <c r="C10">
        <f>IF(A10="Ada",IF(IFERROR(VLOOKUP(D10,Sheet2!A:D,2,FALSE),"")="",IFERROR(VLOOKUP(D10,Sheet2!A:D,3,FALSE),""),VLOOKUP(D10,Sheet2!A:D,2,FALSE)),"")</f>
        <v>2300332</v>
      </c>
      <c r="D10" s="2">
        <v>1571280332</v>
      </c>
      <c r="E10" t="s">
        <v>0</v>
      </c>
      <c r="F10" t="s">
        <v>22</v>
      </c>
      <c r="G10" t="s">
        <v>23</v>
      </c>
      <c r="H10" s="1">
        <v>46247</v>
      </c>
      <c r="I10" t="s">
        <v>3</v>
      </c>
      <c r="J10" t="s">
        <v>4</v>
      </c>
      <c r="K10" t="s">
        <v>5</v>
      </c>
      <c r="L10" t="s">
        <v>6</v>
      </c>
      <c r="M10" t="s">
        <v>7</v>
      </c>
    </row>
    <row r="11" spans="1:13" x14ac:dyDescent="0.3">
      <c r="A11" t="str">
        <f>IF(COUNTIF(Sheet2!A:A,D11)&gt;0,"Ada","Tidak Ada")</f>
        <v>Ada</v>
      </c>
      <c r="C11">
        <f>IF(A11="Ada",IF(IFERROR(VLOOKUP(D11,Sheet2!A:D,2,FALSE),"")="",IFERROR(VLOOKUP(D11,Sheet2!A:D,3,FALSE),""),VLOOKUP(D11,Sheet2!A:D,2,FALSE)),"")</f>
        <v>0</v>
      </c>
      <c r="D11" s="2">
        <v>1571281021</v>
      </c>
      <c r="E11" t="s">
        <v>0</v>
      </c>
      <c r="F11" t="s">
        <v>24</v>
      </c>
      <c r="G11" t="s">
        <v>25</v>
      </c>
      <c r="H11" s="1">
        <v>46247</v>
      </c>
      <c r="I11" t="s">
        <v>3</v>
      </c>
      <c r="J11" t="s">
        <v>4</v>
      </c>
      <c r="K11" t="s">
        <v>5</v>
      </c>
      <c r="L11" t="s">
        <v>6</v>
      </c>
      <c r="M11" t="s">
        <v>7</v>
      </c>
    </row>
    <row r="12" spans="1:13" x14ac:dyDescent="0.3">
      <c r="A12" t="str">
        <f>IF(COUNTIF(Sheet2!A:A,D12)&gt;0,"Ada","Tidak Ada")</f>
        <v>Ada</v>
      </c>
      <c r="C12">
        <f>IF(A12="Ada",IF(IFERROR(VLOOKUP(D12,Sheet2!A:D,2,FALSE),"")="",IFERROR(VLOOKUP(D12,Sheet2!A:D,3,FALSE),""),VLOOKUP(D12,Sheet2!A:D,2,FALSE)),"")</f>
        <v>0</v>
      </c>
      <c r="D12" s="2">
        <v>1571281084</v>
      </c>
      <c r="E12" t="s">
        <v>0</v>
      </c>
      <c r="F12" t="s">
        <v>26</v>
      </c>
      <c r="G12" t="s">
        <v>27</v>
      </c>
      <c r="H12" s="1">
        <v>46247</v>
      </c>
      <c r="I12" t="s">
        <v>3</v>
      </c>
      <c r="J12" t="s">
        <v>4</v>
      </c>
      <c r="K12" t="s">
        <v>5</v>
      </c>
      <c r="L12" t="s">
        <v>6</v>
      </c>
      <c r="M12" t="s">
        <v>7</v>
      </c>
    </row>
    <row r="13" spans="1:13" x14ac:dyDescent="0.3">
      <c r="A13" t="str">
        <f>IF(COUNTIF(Sheet2!A:A,D13)&gt;0,"Ada","Tidak Ada")</f>
        <v>Ada</v>
      </c>
      <c r="C13">
        <f>IF(A13="Ada",IF(IFERROR(VLOOKUP(D13,Sheet2!A:D,2,FALSE),"")="",IFERROR(VLOOKUP(D13,Sheet2!A:D,3,FALSE),""),VLOOKUP(D13,Sheet2!A:D,2,FALSE)),"")</f>
        <v>2300959</v>
      </c>
      <c r="D13" s="2">
        <v>1571282959</v>
      </c>
      <c r="E13" t="s">
        <v>0</v>
      </c>
      <c r="F13" t="s">
        <v>28</v>
      </c>
      <c r="G13" t="s">
        <v>29</v>
      </c>
      <c r="H13" s="1">
        <v>46247</v>
      </c>
      <c r="I13" t="s">
        <v>3</v>
      </c>
      <c r="J13" t="s">
        <v>4</v>
      </c>
      <c r="K13" t="s">
        <v>5</v>
      </c>
      <c r="L13" t="s">
        <v>6</v>
      </c>
      <c r="M13" t="s">
        <v>7</v>
      </c>
    </row>
    <row r="14" spans="1:13" x14ac:dyDescent="0.3">
      <c r="A14" t="str">
        <f>IF(COUNTIF(Sheet2!A:A,D14)&gt;0,"Ada","Tidak Ada")</f>
        <v>Tidak Ada</v>
      </c>
      <c r="C14" t="str">
        <f>IF(A14="Ada",IF(IFERROR(VLOOKUP(D14,Sheet2!A:D,2,FALSE),"")="",IFERROR(VLOOKUP(D14,Sheet2!A:D,3,FALSE),""),VLOOKUP(D14,Sheet2!A:D,2,FALSE)),"")</f>
        <v/>
      </c>
      <c r="D14" s="2">
        <v>1571284761</v>
      </c>
      <c r="E14" t="s">
        <v>0</v>
      </c>
      <c r="F14" t="s">
        <v>30</v>
      </c>
      <c r="G14" t="s">
        <v>31</v>
      </c>
      <c r="H14" s="1">
        <v>46247</v>
      </c>
      <c r="I14" t="s">
        <v>3</v>
      </c>
      <c r="J14" t="s">
        <v>4</v>
      </c>
      <c r="K14" t="s">
        <v>5</v>
      </c>
      <c r="L14" t="s">
        <v>6</v>
      </c>
      <c r="M14" t="s">
        <v>7</v>
      </c>
    </row>
    <row r="15" spans="1:13" x14ac:dyDescent="0.3">
      <c r="A15" t="str">
        <f>IF(COUNTIF(Sheet2!A:A,D15)&gt;0,"Ada","Tidak Ada")</f>
        <v>Ada</v>
      </c>
      <c r="C15">
        <f>IF(A15="Ada",IF(IFERROR(VLOOKUP(D15,Sheet2!A:D,2,FALSE),"")="",IFERROR(VLOOKUP(D15,Sheet2!A:D,3,FALSE),""),VLOOKUP(D15,Sheet2!A:D,2,FALSE)),"")</f>
        <v>3000979</v>
      </c>
      <c r="D15" s="2">
        <v>1571286979</v>
      </c>
      <c r="E15" t="s">
        <v>0</v>
      </c>
      <c r="F15" t="s">
        <v>32</v>
      </c>
      <c r="G15" t="s">
        <v>33</v>
      </c>
      <c r="H15" s="1">
        <v>46247</v>
      </c>
      <c r="I15" t="s">
        <v>3</v>
      </c>
      <c r="J15" t="s">
        <v>4</v>
      </c>
      <c r="K15" t="s">
        <v>5</v>
      </c>
      <c r="L15" t="s">
        <v>6</v>
      </c>
      <c r="M15" t="s">
        <v>7</v>
      </c>
    </row>
    <row r="16" spans="1:13" x14ac:dyDescent="0.3">
      <c r="A16" t="str">
        <f>IF(COUNTIF(Sheet2!A:A,D16)&gt;0,"Ada","Tidak Ada")</f>
        <v>Tidak Ada</v>
      </c>
      <c r="C16" t="str">
        <f>IF(A16="Ada",IF(IFERROR(VLOOKUP(D16,Sheet2!A:D,2,FALSE),"")="",IFERROR(VLOOKUP(D16,Sheet2!A:D,3,FALSE),""),VLOOKUP(D16,Sheet2!A:D,2,FALSE)),"")</f>
        <v/>
      </c>
      <c r="D16" s="2">
        <v>1571287902</v>
      </c>
      <c r="E16" t="s">
        <v>0</v>
      </c>
      <c r="F16" t="s">
        <v>34</v>
      </c>
      <c r="G16" t="s">
        <v>35</v>
      </c>
      <c r="H16" s="1">
        <v>46247</v>
      </c>
      <c r="I16" t="s">
        <v>3</v>
      </c>
      <c r="J16" t="s">
        <v>4</v>
      </c>
      <c r="K16" t="s">
        <v>5</v>
      </c>
      <c r="L16" t="s">
        <v>6</v>
      </c>
      <c r="M16" t="s">
        <v>7</v>
      </c>
    </row>
    <row r="17" spans="1:13" x14ac:dyDescent="0.3">
      <c r="A17" t="str">
        <f>IF(COUNTIF(Sheet2!A:A,D17)&gt;0,"Ada","Tidak Ada")</f>
        <v>Ada</v>
      </c>
      <c r="C17">
        <f>IF(A17="Ada",IF(IFERROR(VLOOKUP(D17,Sheet2!A:D,2,FALSE),"")="",IFERROR(VLOOKUP(D17,Sheet2!A:D,3,FALSE),""),VLOOKUP(D17,Sheet2!A:D,2,FALSE)),"")</f>
        <v>2500829</v>
      </c>
      <c r="D17" s="2">
        <v>1571289829</v>
      </c>
      <c r="E17" t="s">
        <v>0</v>
      </c>
      <c r="F17" t="s">
        <v>36</v>
      </c>
      <c r="G17" t="s">
        <v>37</v>
      </c>
      <c r="H17" s="1">
        <v>46247</v>
      </c>
      <c r="I17" t="s">
        <v>3</v>
      </c>
      <c r="J17" t="s">
        <v>4</v>
      </c>
      <c r="K17" t="s">
        <v>5</v>
      </c>
      <c r="L17" t="s">
        <v>6</v>
      </c>
      <c r="M17" t="s">
        <v>7</v>
      </c>
    </row>
    <row r="18" spans="1:13" x14ac:dyDescent="0.3">
      <c r="A18" t="str">
        <f>IF(COUNTIF(Sheet2!A:A,D18)&gt;0,"Ada","Tidak Ada")</f>
        <v>Ada</v>
      </c>
      <c r="C18">
        <f>IF(A18="Ada",IF(IFERROR(VLOOKUP(D18,Sheet2!A:D,2,FALSE),"")="",IFERROR(VLOOKUP(D18,Sheet2!A:D,3,FALSE),""),VLOOKUP(D18,Sheet2!A:D,2,FALSE)),"")</f>
        <v>3200388</v>
      </c>
      <c r="D18" s="2">
        <v>1571290388</v>
      </c>
      <c r="E18" t="s">
        <v>0</v>
      </c>
      <c r="F18" t="s">
        <v>38</v>
      </c>
      <c r="G18" t="s">
        <v>39</v>
      </c>
      <c r="H18" s="1">
        <v>46247</v>
      </c>
      <c r="I18" t="s">
        <v>3</v>
      </c>
      <c r="J18" t="s">
        <v>4</v>
      </c>
      <c r="K18" t="s">
        <v>5</v>
      </c>
      <c r="L18" t="s">
        <v>6</v>
      </c>
      <c r="M18" t="s">
        <v>7</v>
      </c>
    </row>
    <row r="19" spans="1:13" x14ac:dyDescent="0.3">
      <c r="A19" t="str">
        <f>IF(COUNTIF(Sheet2!A:A,D19)&gt;0,"Ada","Tidak Ada")</f>
        <v>Tidak Ada</v>
      </c>
      <c r="C19" t="str">
        <f>IF(A19="Ada",IF(IFERROR(VLOOKUP(D19,Sheet2!A:D,2,FALSE),"")="",IFERROR(VLOOKUP(D19,Sheet2!A:D,3,FALSE),""),VLOOKUP(D19,Sheet2!A:D,2,FALSE)),"")</f>
        <v/>
      </c>
      <c r="D19" s="2">
        <v>1571290492</v>
      </c>
      <c r="E19" t="s">
        <v>0</v>
      </c>
      <c r="F19" t="s">
        <v>40</v>
      </c>
      <c r="G19" t="s">
        <v>41</v>
      </c>
      <c r="H19" s="1">
        <v>46247</v>
      </c>
      <c r="I19" t="s">
        <v>3</v>
      </c>
      <c r="J19" t="s">
        <v>4</v>
      </c>
      <c r="K19" t="s">
        <v>5</v>
      </c>
      <c r="L19" t="s">
        <v>6</v>
      </c>
      <c r="M19" t="s">
        <v>7</v>
      </c>
    </row>
    <row r="20" spans="1:13" x14ac:dyDescent="0.3">
      <c r="A20" t="str">
        <f>IF(COUNTIF(Sheet2!A:A,D20)&gt;0,"Ada","Tidak Ada")</f>
        <v>Ada</v>
      </c>
      <c r="C20">
        <f>IF(A20="Ada",IF(IFERROR(VLOOKUP(D20,Sheet2!A:D,2,FALSE),"")="",IFERROR(VLOOKUP(D20,Sheet2!A:D,3,FALSE),""),VLOOKUP(D20,Sheet2!A:D,2,FALSE)),"")</f>
        <v>2800818</v>
      </c>
      <c r="D20" s="2">
        <v>1571290818</v>
      </c>
      <c r="E20" t="s">
        <v>0</v>
      </c>
      <c r="F20" t="s">
        <v>42</v>
      </c>
      <c r="G20" t="s">
        <v>43</v>
      </c>
      <c r="H20" s="1">
        <v>46247</v>
      </c>
      <c r="I20" t="s">
        <v>3</v>
      </c>
      <c r="J20" t="s">
        <v>4</v>
      </c>
      <c r="K20" t="s">
        <v>5</v>
      </c>
      <c r="L20" t="s">
        <v>6</v>
      </c>
      <c r="M20" t="s">
        <v>7</v>
      </c>
    </row>
    <row r="21" spans="1:13" x14ac:dyDescent="0.3">
      <c r="A21" t="str">
        <f>IF(COUNTIF(Sheet2!A:A,D21)&gt;0,"Ada","Tidak Ada")</f>
        <v>Tidak Ada</v>
      </c>
      <c r="C21" t="str">
        <f>IF(A21="Ada",IF(IFERROR(VLOOKUP(D21,Sheet2!A:D,2,FALSE),"")="",IFERROR(VLOOKUP(D21,Sheet2!A:D,3,FALSE),""),VLOOKUP(D21,Sheet2!A:D,2,FALSE)),"")</f>
        <v/>
      </c>
      <c r="D21" s="2">
        <v>1571291145</v>
      </c>
      <c r="E21" t="s">
        <v>0</v>
      </c>
      <c r="F21" t="s">
        <v>44</v>
      </c>
      <c r="G21" t="s">
        <v>45</v>
      </c>
      <c r="H21" s="1">
        <v>46247</v>
      </c>
      <c r="I21" t="s">
        <v>3</v>
      </c>
      <c r="J21" t="s">
        <v>4</v>
      </c>
      <c r="K21" t="s">
        <v>5</v>
      </c>
      <c r="L21" t="s">
        <v>6</v>
      </c>
      <c r="M21" t="s">
        <v>7</v>
      </c>
    </row>
    <row r="22" spans="1:13" x14ac:dyDescent="0.3">
      <c r="A22" t="str">
        <f>IF(COUNTIF(Sheet2!A:A,D22)&gt;0,"Ada","Tidak Ada")</f>
        <v>Tidak Ada</v>
      </c>
      <c r="C22" t="str">
        <f>IF(A22="Ada",IF(IFERROR(VLOOKUP(D22,Sheet2!A:D,2,FALSE),"")="",IFERROR(VLOOKUP(D22,Sheet2!A:D,3,FALSE),""),VLOOKUP(D22,Sheet2!A:D,2,FALSE)),"")</f>
        <v/>
      </c>
      <c r="D22" s="2">
        <v>1571291163</v>
      </c>
      <c r="E22" t="s">
        <v>0</v>
      </c>
      <c r="F22" t="s">
        <v>46</v>
      </c>
      <c r="G22" t="s">
        <v>47</v>
      </c>
      <c r="H22" s="1">
        <v>46247</v>
      </c>
      <c r="I22" t="s">
        <v>3</v>
      </c>
      <c r="J22" t="s">
        <v>4</v>
      </c>
      <c r="K22" t="s">
        <v>5</v>
      </c>
      <c r="L22" t="s">
        <v>6</v>
      </c>
      <c r="M22" t="s">
        <v>7</v>
      </c>
    </row>
    <row r="23" spans="1:13" x14ac:dyDescent="0.3">
      <c r="A23" t="str">
        <f>IF(COUNTIF(Sheet2!A:A,D23)&gt;0,"Ada","Tidak Ada")</f>
        <v>Ada</v>
      </c>
      <c r="C23">
        <f>IF(A23="Ada",IF(IFERROR(VLOOKUP(D23,Sheet2!A:D,2,FALSE),"")="",IFERROR(VLOOKUP(D23,Sheet2!A:D,3,FALSE),""),VLOOKUP(D23,Sheet2!A:D,2,FALSE)),"")</f>
        <v>0</v>
      </c>
      <c r="D23" s="2">
        <v>1571291272</v>
      </c>
      <c r="E23" t="s">
        <v>0</v>
      </c>
      <c r="F23" t="s">
        <v>48</v>
      </c>
      <c r="G23" t="s">
        <v>49</v>
      </c>
      <c r="H23" s="1">
        <v>46247</v>
      </c>
      <c r="I23" t="s">
        <v>3</v>
      </c>
      <c r="J23" t="s">
        <v>4</v>
      </c>
      <c r="K23" t="s">
        <v>5</v>
      </c>
      <c r="L23" t="s">
        <v>6</v>
      </c>
      <c r="M23" t="s">
        <v>7</v>
      </c>
    </row>
    <row r="24" spans="1:13" x14ac:dyDescent="0.3">
      <c r="A24" t="str">
        <f>IF(COUNTIF(Sheet2!A:A,D24)&gt;0,"Ada","Tidak Ada")</f>
        <v>Ada</v>
      </c>
      <c r="C24">
        <f>IF(A24="Ada",IF(IFERROR(VLOOKUP(D24,Sheet2!A:D,2,FALSE),"")="",IFERROR(VLOOKUP(D24,Sheet2!A:D,3,FALSE),""),VLOOKUP(D24,Sheet2!A:D,2,FALSE)),"")</f>
        <v>2300423</v>
      </c>
      <c r="D24" s="2">
        <v>1571291423</v>
      </c>
      <c r="E24" t="s">
        <v>0</v>
      </c>
      <c r="F24" t="s">
        <v>50</v>
      </c>
      <c r="G24" t="s">
        <v>51</v>
      </c>
      <c r="H24" s="1">
        <v>46247</v>
      </c>
      <c r="I24" t="s">
        <v>3</v>
      </c>
      <c r="J24" t="s">
        <v>4</v>
      </c>
      <c r="K24" t="s">
        <v>5</v>
      </c>
      <c r="L24" t="s">
        <v>6</v>
      </c>
      <c r="M24" t="s">
        <v>7</v>
      </c>
    </row>
    <row r="25" spans="1:13" x14ac:dyDescent="0.3">
      <c r="A25" t="str">
        <f>IF(COUNTIF(Sheet2!A:A,D25)&gt;0,"Ada","Tidak Ada")</f>
        <v>Ada</v>
      </c>
      <c r="C25">
        <f>IF(A25="Ada",IF(IFERROR(VLOOKUP(D25,Sheet2!A:D,2,FALSE),"")="",IFERROR(VLOOKUP(D25,Sheet2!A:D,3,FALSE),""),VLOOKUP(D25,Sheet2!A:D,2,FALSE)),"")</f>
        <v>0</v>
      </c>
      <c r="D25" s="2">
        <v>1571291625</v>
      </c>
      <c r="E25" t="s">
        <v>0</v>
      </c>
      <c r="F25" t="s">
        <v>52</v>
      </c>
      <c r="G25" t="s">
        <v>53</v>
      </c>
      <c r="H25" s="1">
        <v>46247</v>
      </c>
      <c r="I25" t="s">
        <v>3</v>
      </c>
      <c r="J25" t="s">
        <v>4</v>
      </c>
      <c r="K25" t="s">
        <v>5</v>
      </c>
      <c r="L25" t="s">
        <v>6</v>
      </c>
      <c r="M25" t="s">
        <v>7</v>
      </c>
    </row>
    <row r="26" spans="1:13" x14ac:dyDescent="0.3">
      <c r="A26" t="str">
        <f>IF(COUNTIF(Sheet2!A:A,D26)&gt;0,"Ada","Tidak Ada")</f>
        <v>Ada</v>
      </c>
      <c r="C26">
        <f>IF(A26="Ada",IF(IFERROR(VLOOKUP(D26,Sheet2!A:D,2,FALSE),"")="",IFERROR(VLOOKUP(D26,Sheet2!A:D,3,FALSE),""),VLOOKUP(D26,Sheet2!A:D,2,FALSE)),"")</f>
        <v>2300638</v>
      </c>
      <c r="D26" s="2">
        <v>1571291638</v>
      </c>
      <c r="E26" t="s">
        <v>0</v>
      </c>
      <c r="F26" t="s">
        <v>54</v>
      </c>
      <c r="G26" t="s">
        <v>55</v>
      </c>
      <c r="H26" s="1">
        <v>46247</v>
      </c>
      <c r="I26" t="s">
        <v>3</v>
      </c>
      <c r="J26" t="s">
        <v>4</v>
      </c>
      <c r="K26" t="s">
        <v>5</v>
      </c>
      <c r="L26" t="s">
        <v>6</v>
      </c>
      <c r="M26" t="s">
        <v>7</v>
      </c>
    </row>
    <row r="27" spans="1:13" x14ac:dyDescent="0.3">
      <c r="A27" t="str">
        <f>IF(COUNTIF(Sheet2!A:A,D27)&gt;0,"Ada","Tidak Ada")</f>
        <v>Ada</v>
      </c>
      <c r="C27">
        <f>IF(A27="Ada",IF(IFERROR(VLOOKUP(D27,Sheet2!A:D,2,FALSE),"")="",IFERROR(VLOOKUP(D27,Sheet2!A:D,3,FALSE),""),VLOOKUP(D27,Sheet2!A:D,2,FALSE)),"")</f>
        <v>2300668</v>
      </c>
      <c r="D27" s="2">
        <v>1571291668</v>
      </c>
      <c r="E27" t="s">
        <v>0</v>
      </c>
      <c r="F27" t="s">
        <v>56</v>
      </c>
      <c r="G27" t="s">
        <v>57</v>
      </c>
      <c r="H27" s="1">
        <v>46247</v>
      </c>
      <c r="I27" t="s">
        <v>3</v>
      </c>
      <c r="J27" t="s">
        <v>4</v>
      </c>
      <c r="K27" t="s">
        <v>5</v>
      </c>
      <c r="L27" t="s">
        <v>6</v>
      </c>
      <c r="M27" t="s">
        <v>7</v>
      </c>
    </row>
    <row r="28" spans="1:13" x14ac:dyDescent="0.3">
      <c r="A28" t="str">
        <f>IF(COUNTIF(Sheet2!A:A,D28)&gt;0,"Ada","Tidak Ada")</f>
        <v>Tidak Ada</v>
      </c>
      <c r="C28" t="str">
        <f>IF(A28="Ada",IF(IFERROR(VLOOKUP(D28,Sheet2!A:D,2,FALSE),"")="",IFERROR(VLOOKUP(D28,Sheet2!A:D,3,FALSE),""),VLOOKUP(D28,Sheet2!A:D,2,FALSE)),"")</f>
        <v/>
      </c>
      <c r="D28" s="2">
        <v>1571291739</v>
      </c>
      <c r="E28" t="s">
        <v>0</v>
      </c>
      <c r="F28" t="s">
        <v>58</v>
      </c>
      <c r="G28" t="s">
        <v>59</v>
      </c>
      <c r="H28" s="1">
        <v>46247</v>
      </c>
      <c r="I28" t="s">
        <v>3</v>
      </c>
      <c r="J28" t="s">
        <v>4</v>
      </c>
      <c r="K28" t="s">
        <v>5</v>
      </c>
      <c r="L28" t="s">
        <v>6</v>
      </c>
      <c r="M28" t="s">
        <v>7</v>
      </c>
    </row>
    <row r="29" spans="1:13" x14ac:dyDescent="0.3">
      <c r="A29" t="str">
        <f>IF(COUNTIF(Sheet2!A:A,D29)&gt;0,"Ada","Tidak Ada")</f>
        <v>Ada</v>
      </c>
      <c r="C29">
        <f>IF(A29="Ada",IF(IFERROR(VLOOKUP(D29,Sheet2!A:D,2,FALSE),"")="",IFERROR(VLOOKUP(D29,Sheet2!A:D,3,FALSE),""),VLOOKUP(D29,Sheet2!A:D,2,FALSE)),"")</f>
        <v>3200000</v>
      </c>
      <c r="D29" s="2">
        <v>1571291753</v>
      </c>
      <c r="E29" t="s">
        <v>0</v>
      </c>
      <c r="F29" t="s">
        <v>60</v>
      </c>
      <c r="G29" t="s">
        <v>61</v>
      </c>
      <c r="H29" s="1">
        <v>46247</v>
      </c>
      <c r="I29" t="s">
        <v>3</v>
      </c>
      <c r="J29" t="s">
        <v>4</v>
      </c>
      <c r="K29" t="s">
        <v>5</v>
      </c>
      <c r="L29" t="s">
        <v>6</v>
      </c>
      <c r="M29" t="s">
        <v>7</v>
      </c>
    </row>
    <row r="30" spans="1:13" x14ac:dyDescent="0.3">
      <c r="A30" t="str">
        <f>IF(COUNTIF(Sheet2!A:A,D30)&gt;0,"Ada","Tidak Ada")</f>
        <v>Tidak Ada</v>
      </c>
      <c r="C30" t="str">
        <f>IF(A30="Ada",IF(IFERROR(VLOOKUP(D30,Sheet2!A:D,2,FALSE),"")="",IFERROR(VLOOKUP(D30,Sheet2!A:D,3,FALSE),""),VLOOKUP(D30,Sheet2!A:D,2,FALSE)),"")</f>
        <v/>
      </c>
      <c r="D30" s="2">
        <v>1571291857</v>
      </c>
      <c r="E30" t="s">
        <v>0</v>
      </c>
      <c r="F30" t="s">
        <v>62</v>
      </c>
      <c r="G30" t="s">
        <v>63</v>
      </c>
      <c r="H30" s="1">
        <v>46247</v>
      </c>
      <c r="I30" t="s">
        <v>3</v>
      </c>
      <c r="J30" t="s">
        <v>4</v>
      </c>
      <c r="K30" t="s">
        <v>5</v>
      </c>
      <c r="L30" t="s">
        <v>6</v>
      </c>
      <c r="M30" t="s">
        <v>7</v>
      </c>
    </row>
    <row r="31" spans="1:13" x14ac:dyDescent="0.3">
      <c r="A31" t="str">
        <f>IF(COUNTIF(Sheet2!A:A,D31)&gt;0,"Ada","Tidak Ada")</f>
        <v>Ada</v>
      </c>
      <c r="C31" t="str">
        <f>IF(A31="Ada",IF(IFERROR(VLOOKUP(D31,Sheet2!A:D,2,FALSE),"")="",IFERROR(VLOOKUP(D31,Sheet2!A:D,3,FALSE),""),VLOOKUP(D31,Sheet2!A:D,2,FALSE)),"")</f>
        <v>USD 180</v>
      </c>
      <c r="D31" s="2">
        <v>1571291877</v>
      </c>
      <c r="E31" t="s">
        <v>0</v>
      </c>
      <c r="F31" t="s">
        <v>64</v>
      </c>
      <c r="G31" t="s">
        <v>65</v>
      </c>
      <c r="H31" s="1">
        <v>46247</v>
      </c>
      <c r="I31" t="s">
        <v>3</v>
      </c>
      <c r="J31" t="s">
        <v>4</v>
      </c>
      <c r="K31" t="s">
        <v>5</v>
      </c>
      <c r="L31" t="s">
        <v>6</v>
      </c>
      <c r="M31" t="s">
        <v>7</v>
      </c>
    </row>
    <row r="32" spans="1:13" x14ac:dyDescent="0.3">
      <c r="A32" t="str">
        <f>IF(COUNTIF(Sheet2!A:A,D32)&gt;0,"Ada","Tidak Ada")</f>
        <v>Tidak Ada</v>
      </c>
      <c r="C32" t="str">
        <f>IF(A32="Ada",IF(IFERROR(VLOOKUP(D32,Sheet2!A:D,2,FALSE),"")="",IFERROR(VLOOKUP(D32,Sheet2!A:D,3,FALSE),""),VLOOKUP(D32,Sheet2!A:D,2,FALSE)),"")</f>
        <v/>
      </c>
      <c r="D32" s="2">
        <v>1571291893</v>
      </c>
      <c r="E32" t="s">
        <v>0</v>
      </c>
      <c r="F32" t="s">
        <v>66</v>
      </c>
      <c r="G32" t="s">
        <v>67</v>
      </c>
      <c r="H32" s="1">
        <v>46247</v>
      </c>
      <c r="I32" t="s">
        <v>3</v>
      </c>
      <c r="J32" t="s">
        <v>4</v>
      </c>
      <c r="K32" t="s">
        <v>5</v>
      </c>
      <c r="L32" t="s">
        <v>6</v>
      </c>
      <c r="M32" t="s">
        <v>7</v>
      </c>
    </row>
    <row r="33" spans="1:13" x14ac:dyDescent="0.3">
      <c r="A33" t="str">
        <f>IF(COUNTIF(Sheet2!A:A,D33)&gt;0,"Ada","Tidak Ada")</f>
        <v>Ada</v>
      </c>
      <c r="C33">
        <f>IF(A33="Ada",IF(IFERROR(VLOOKUP(D33,Sheet2!A:D,2,FALSE),"")="",IFERROR(VLOOKUP(D33,Sheet2!A:D,3,FALSE),""),VLOOKUP(D33,Sheet2!A:D,2,FALSE)),"")</f>
        <v>2300935</v>
      </c>
      <c r="D33" s="2">
        <v>1571291935</v>
      </c>
      <c r="E33" t="s">
        <v>0</v>
      </c>
      <c r="F33" t="s">
        <v>68</v>
      </c>
      <c r="G33" t="s">
        <v>69</v>
      </c>
      <c r="H33" s="1">
        <v>46247</v>
      </c>
      <c r="I33" t="s">
        <v>3</v>
      </c>
      <c r="J33" t="s">
        <v>4</v>
      </c>
      <c r="K33" t="s">
        <v>5</v>
      </c>
      <c r="L33" t="s">
        <v>6</v>
      </c>
      <c r="M33" t="s">
        <v>7</v>
      </c>
    </row>
    <row r="34" spans="1:13" x14ac:dyDescent="0.3">
      <c r="A34" t="str">
        <f>IF(COUNTIF(Sheet2!A:A,D34)&gt;0,"Ada","Tidak Ada")</f>
        <v>Tidak Ada</v>
      </c>
      <c r="C34" t="str">
        <f>IF(A34="Ada",IF(IFERROR(VLOOKUP(D34,Sheet2!A:D,2,FALSE),"")="",IFERROR(VLOOKUP(D34,Sheet2!A:D,3,FALSE),""),VLOOKUP(D34,Sheet2!A:D,2,FALSE)),"")</f>
        <v/>
      </c>
      <c r="D34" s="2">
        <v>1571292019</v>
      </c>
      <c r="E34" t="s">
        <v>0</v>
      </c>
      <c r="F34" t="s">
        <v>70</v>
      </c>
      <c r="G34" t="s">
        <v>71</v>
      </c>
      <c r="H34" s="1">
        <v>46247</v>
      </c>
      <c r="I34" t="s">
        <v>3</v>
      </c>
      <c r="J34" t="s">
        <v>4</v>
      </c>
      <c r="K34" t="s">
        <v>5</v>
      </c>
      <c r="L34" t="s">
        <v>6</v>
      </c>
      <c r="M34" t="s">
        <v>7</v>
      </c>
    </row>
    <row r="35" spans="1:13" x14ac:dyDescent="0.3">
      <c r="A35" t="str">
        <f>IF(COUNTIF(Sheet2!A:A,D35)&gt;0,"Ada","Tidak Ada")</f>
        <v>Tidak Ada</v>
      </c>
      <c r="C35" t="str">
        <f>IF(A35="Ada",IF(IFERROR(VLOOKUP(D35,Sheet2!A:D,2,FALSE),"")="",IFERROR(VLOOKUP(D35,Sheet2!A:D,3,FALSE),""),VLOOKUP(D35,Sheet2!A:D,2,FALSE)),"")</f>
        <v/>
      </c>
      <c r="D35" s="2">
        <v>1571292191</v>
      </c>
      <c r="E35" t="s">
        <v>0</v>
      </c>
      <c r="F35" t="s">
        <v>72</v>
      </c>
      <c r="G35" t="s">
        <v>73</v>
      </c>
      <c r="H35" s="1">
        <v>46247</v>
      </c>
      <c r="I35" t="s">
        <v>3</v>
      </c>
      <c r="J35" t="s">
        <v>4</v>
      </c>
      <c r="K35" t="s">
        <v>5</v>
      </c>
      <c r="L35" t="s">
        <v>6</v>
      </c>
      <c r="M35" t="s">
        <v>7</v>
      </c>
    </row>
    <row r="36" spans="1:13" x14ac:dyDescent="0.3">
      <c r="A36" t="str">
        <f>IF(COUNTIF(Sheet2!A:A,D36)&gt;0,"Ada","Tidak Ada")</f>
        <v>Tidak Ada</v>
      </c>
      <c r="C36" t="str">
        <f>IF(A36="Ada",IF(IFERROR(VLOOKUP(D36,Sheet2!A:D,2,FALSE),"")="",IFERROR(VLOOKUP(D36,Sheet2!A:D,3,FALSE),""),VLOOKUP(D36,Sheet2!A:D,2,FALSE)),"")</f>
        <v/>
      </c>
      <c r="D36" s="2">
        <v>1571292198</v>
      </c>
      <c r="E36" t="s">
        <v>0</v>
      </c>
      <c r="F36" t="s">
        <v>74</v>
      </c>
      <c r="G36" t="s">
        <v>75</v>
      </c>
      <c r="H36" s="1">
        <v>46247</v>
      </c>
      <c r="I36" t="s">
        <v>3</v>
      </c>
      <c r="J36" t="s">
        <v>4</v>
      </c>
      <c r="K36" t="s">
        <v>5</v>
      </c>
      <c r="L36" t="s">
        <v>6</v>
      </c>
      <c r="M36" t="s">
        <v>7</v>
      </c>
    </row>
    <row r="37" spans="1:13" x14ac:dyDescent="0.3">
      <c r="A37" t="str">
        <f>IF(COUNTIF(Sheet2!A:A,D37)&gt;0,"Ada","Tidak Ada")</f>
        <v>Tidak Ada</v>
      </c>
      <c r="C37" t="str">
        <f>IF(A37="Ada",IF(IFERROR(VLOOKUP(D37,Sheet2!A:D,2,FALSE),"")="",IFERROR(VLOOKUP(D37,Sheet2!A:D,3,FALSE),""),VLOOKUP(D37,Sheet2!A:D,2,FALSE)),"")</f>
        <v/>
      </c>
      <c r="D37" s="2">
        <v>1571292256</v>
      </c>
      <c r="E37" t="s">
        <v>0</v>
      </c>
      <c r="F37" t="s">
        <v>76</v>
      </c>
      <c r="G37" t="s">
        <v>77</v>
      </c>
      <c r="H37" s="1">
        <v>46247</v>
      </c>
      <c r="I37" t="s">
        <v>3</v>
      </c>
      <c r="J37" t="s">
        <v>4</v>
      </c>
      <c r="K37" t="s">
        <v>5</v>
      </c>
      <c r="L37" t="s">
        <v>6</v>
      </c>
      <c r="M37" t="s">
        <v>7</v>
      </c>
    </row>
    <row r="38" spans="1:13" x14ac:dyDescent="0.3">
      <c r="A38" t="str">
        <f>IF(COUNTIF(Sheet2!A:A,D38)&gt;0,"Ada","Tidak Ada")</f>
        <v>Tidak Ada</v>
      </c>
      <c r="C38" t="str">
        <f>IF(A38="Ada",IF(IFERROR(VLOOKUP(D38,Sheet2!A:D,2,FALSE),"")="",IFERROR(VLOOKUP(D38,Sheet2!A:D,3,FALSE),""),VLOOKUP(D38,Sheet2!A:D,2,FALSE)),"")</f>
        <v/>
      </c>
      <c r="D38" s="2">
        <v>1571292300</v>
      </c>
      <c r="E38" t="s">
        <v>0</v>
      </c>
      <c r="F38" t="s">
        <v>78</v>
      </c>
      <c r="G38" t="s">
        <v>79</v>
      </c>
      <c r="H38" s="1">
        <v>46247</v>
      </c>
      <c r="I38" t="s">
        <v>3</v>
      </c>
      <c r="J38" t="s">
        <v>4</v>
      </c>
      <c r="K38" t="s">
        <v>5</v>
      </c>
      <c r="L38" t="s">
        <v>6</v>
      </c>
      <c r="M38" t="s">
        <v>7</v>
      </c>
    </row>
    <row r="39" spans="1:13" x14ac:dyDescent="0.3">
      <c r="A39" t="str">
        <f>IF(COUNTIF(Sheet2!A:A,D39)&gt;0,"Ada","Tidak Ada")</f>
        <v>Tidak Ada</v>
      </c>
      <c r="C39" t="str">
        <f>IF(A39="Ada",IF(IFERROR(VLOOKUP(D39,Sheet2!A:D,2,FALSE),"")="",IFERROR(VLOOKUP(D39,Sheet2!A:D,3,FALSE),""),VLOOKUP(D39,Sheet2!A:D,2,FALSE)),"")</f>
        <v/>
      </c>
      <c r="D39" s="2">
        <v>1571292314</v>
      </c>
      <c r="E39" t="s">
        <v>0</v>
      </c>
      <c r="F39" t="s">
        <v>80</v>
      </c>
      <c r="G39" t="s">
        <v>81</v>
      </c>
      <c r="H39" s="1">
        <v>46247</v>
      </c>
      <c r="I39" t="s">
        <v>3</v>
      </c>
      <c r="J39" t="s">
        <v>4</v>
      </c>
      <c r="K39" t="s">
        <v>5</v>
      </c>
      <c r="L39" t="s">
        <v>6</v>
      </c>
      <c r="M39" t="s">
        <v>7</v>
      </c>
    </row>
    <row r="40" spans="1:13" x14ac:dyDescent="0.3">
      <c r="A40" t="str">
        <f>IF(COUNTIF(Sheet2!A:A,D40)&gt;0,"Ada","Tidak Ada")</f>
        <v>Tidak Ada</v>
      </c>
      <c r="C40" t="str">
        <f>IF(A40="Ada",IF(IFERROR(VLOOKUP(D40,Sheet2!A:D,2,FALSE),"")="",IFERROR(VLOOKUP(D40,Sheet2!A:D,3,FALSE),""),VLOOKUP(D40,Sheet2!A:D,2,FALSE)),"")</f>
        <v/>
      </c>
      <c r="D40" s="2">
        <v>1571292356</v>
      </c>
      <c r="E40" t="s">
        <v>0</v>
      </c>
      <c r="F40" t="s">
        <v>82</v>
      </c>
      <c r="G40" t="s">
        <v>83</v>
      </c>
      <c r="H40" s="1">
        <v>46247</v>
      </c>
      <c r="I40" t="s">
        <v>3</v>
      </c>
      <c r="J40" t="s">
        <v>4</v>
      </c>
      <c r="K40" t="s">
        <v>5</v>
      </c>
      <c r="L40" t="s">
        <v>6</v>
      </c>
      <c r="M40" t="s">
        <v>7</v>
      </c>
    </row>
    <row r="41" spans="1:13" x14ac:dyDescent="0.3">
      <c r="A41" t="str">
        <f>IF(COUNTIF(Sheet2!A:A,D41)&gt;0,"Ada","Tidak Ada")</f>
        <v>Tidak Ada</v>
      </c>
      <c r="C41" t="str">
        <f>IF(A41="Ada",IF(IFERROR(VLOOKUP(D41,Sheet2!A:D,2,FALSE),"")="",IFERROR(VLOOKUP(D41,Sheet2!A:D,3,FALSE),""),VLOOKUP(D41,Sheet2!A:D,2,FALSE)),"")</f>
        <v/>
      </c>
      <c r="D41" s="2">
        <v>1571292389</v>
      </c>
      <c r="E41" t="s">
        <v>0</v>
      </c>
      <c r="F41" t="s">
        <v>84</v>
      </c>
      <c r="G41" t="s">
        <v>85</v>
      </c>
      <c r="H41" s="1">
        <v>46247</v>
      </c>
      <c r="I41" t="s">
        <v>3</v>
      </c>
      <c r="J41" t="s">
        <v>4</v>
      </c>
      <c r="K41" t="s">
        <v>5</v>
      </c>
      <c r="L41" t="s">
        <v>6</v>
      </c>
      <c r="M41" t="s">
        <v>7</v>
      </c>
    </row>
    <row r="42" spans="1:13" x14ac:dyDescent="0.3">
      <c r="A42" t="str">
        <f>IF(COUNTIF(Sheet2!A:A,D42)&gt;0,"Ada","Tidak Ada")</f>
        <v>Tidak Ada</v>
      </c>
      <c r="C42" t="str">
        <f>IF(A42="Ada",IF(IFERROR(VLOOKUP(D42,Sheet2!A:D,2,FALSE),"")="",IFERROR(VLOOKUP(D42,Sheet2!A:D,3,FALSE),""),VLOOKUP(D42,Sheet2!A:D,2,FALSE)),"")</f>
        <v/>
      </c>
      <c r="D42" s="2">
        <v>1571292412</v>
      </c>
      <c r="E42" t="s">
        <v>0</v>
      </c>
      <c r="F42" t="s">
        <v>86</v>
      </c>
      <c r="G42" t="s">
        <v>87</v>
      </c>
      <c r="H42" s="1">
        <v>46247</v>
      </c>
      <c r="I42" t="s">
        <v>3</v>
      </c>
      <c r="J42" t="s">
        <v>4</v>
      </c>
      <c r="K42" t="s">
        <v>5</v>
      </c>
      <c r="L42" t="s">
        <v>6</v>
      </c>
      <c r="M42" t="s">
        <v>7</v>
      </c>
    </row>
    <row r="43" spans="1:13" x14ac:dyDescent="0.3">
      <c r="A43" t="str">
        <f>IF(COUNTIF(Sheet2!A:A,D43)&gt;0,"Ada","Tidak Ada")</f>
        <v>Tidak Ada</v>
      </c>
      <c r="C43" t="str">
        <f>IF(A43="Ada",IF(IFERROR(VLOOKUP(D43,Sheet2!A:D,2,FALSE),"")="",IFERROR(VLOOKUP(D43,Sheet2!A:D,3,FALSE),""),VLOOKUP(D43,Sheet2!A:D,2,FALSE)),"")</f>
        <v/>
      </c>
      <c r="D43" s="2">
        <v>1571292417</v>
      </c>
      <c r="E43" t="s">
        <v>0</v>
      </c>
      <c r="F43" t="s">
        <v>88</v>
      </c>
      <c r="G43" t="s">
        <v>89</v>
      </c>
      <c r="H43" s="1">
        <v>46247</v>
      </c>
      <c r="I43" t="s">
        <v>3</v>
      </c>
      <c r="J43" t="s">
        <v>4</v>
      </c>
      <c r="K43" t="s">
        <v>5</v>
      </c>
      <c r="L43" t="s">
        <v>6</v>
      </c>
      <c r="M43" t="s">
        <v>7</v>
      </c>
    </row>
    <row r="44" spans="1:13" x14ac:dyDescent="0.3">
      <c r="A44" t="str">
        <f>IF(COUNTIF(Sheet2!A:A,D44)&gt;0,"Ada","Tidak Ada")</f>
        <v>Ada</v>
      </c>
      <c r="C44">
        <f>IF(A44="Ada",IF(IFERROR(VLOOKUP(D44,Sheet2!A:D,2,FALSE),"")="",IFERROR(VLOOKUP(D44,Sheet2!A:D,3,FALSE),""),VLOOKUP(D44,Sheet2!A:D,2,FALSE)),"")</f>
        <v>2300926</v>
      </c>
      <c r="D44" s="2">
        <v>1571294926</v>
      </c>
      <c r="E44" t="s">
        <v>0</v>
      </c>
      <c r="F44" t="s">
        <v>90</v>
      </c>
      <c r="G44" t="s">
        <v>91</v>
      </c>
      <c r="H44" s="1">
        <v>46247</v>
      </c>
      <c r="I44" t="s">
        <v>3</v>
      </c>
      <c r="J44" t="s">
        <v>4</v>
      </c>
      <c r="K44" t="s">
        <v>5</v>
      </c>
      <c r="L44" t="s">
        <v>6</v>
      </c>
      <c r="M44" t="s">
        <v>7</v>
      </c>
    </row>
    <row r="45" spans="1:13" x14ac:dyDescent="0.3">
      <c r="A45" t="str">
        <f>IF(COUNTIF(Sheet2!A:A,D45)&gt;0,"Ada","Tidak Ada")</f>
        <v>Tidak Ada</v>
      </c>
      <c r="C45" t="str">
        <f>IF(A45="Ada",IF(IFERROR(VLOOKUP(D45,Sheet2!A:D,2,FALSE),"")="",IFERROR(VLOOKUP(D45,Sheet2!A:D,3,FALSE),""),VLOOKUP(D45,Sheet2!A:D,2,FALSE)),"")</f>
        <v/>
      </c>
      <c r="D45" s="2">
        <v>1571295664</v>
      </c>
      <c r="E45" t="s">
        <v>0</v>
      </c>
      <c r="F45" t="s">
        <v>92</v>
      </c>
      <c r="G45" t="s">
        <v>93</v>
      </c>
      <c r="H45" s="1">
        <v>46247</v>
      </c>
      <c r="I45" t="s">
        <v>3</v>
      </c>
      <c r="J45" t="s">
        <v>4</v>
      </c>
      <c r="K45" t="s">
        <v>5</v>
      </c>
      <c r="L45" t="s">
        <v>6</v>
      </c>
      <c r="M45" t="s">
        <v>7</v>
      </c>
    </row>
    <row r="46" spans="1:13" x14ac:dyDescent="0.3">
      <c r="A46" t="str">
        <f>IF(COUNTIF(Sheet2!A:A,D46)&gt;0,"Ada","Tidak Ada")</f>
        <v>Ada</v>
      </c>
      <c r="C46">
        <f>IF(A46="Ada",IF(IFERROR(VLOOKUP(D46,Sheet2!A:D,2,FALSE),"")="",IFERROR(VLOOKUP(D46,Sheet2!A:D,3,FALSE),""),VLOOKUP(D46,Sheet2!A:D,2,FALSE)),"")</f>
        <v>2300713</v>
      </c>
      <c r="D46" s="2">
        <v>1571295713</v>
      </c>
      <c r="E46" t="s">
        <v>0</v>
      </c>
      <c r="F46" t="s">
        <v>94</v>
      </c>
      <c r="G46" t="s">
        <v>95</v>
      </c>
      <c r="H46" s="1">
        <v>46247</v>
      </c>
      <c r="I46" t="s">
        <v>3</v>
      </c>
      <c r="J46" t="s">
        <v>4</v>
      </c>
      <c r="K46" t="s">
        <v>5</v>
      </c>
      <c r="L46" t="s">
        <v>6</v>
      </c>
      <c r="M46" t="s">
        <v>7</v>
      </c>
    </row>
    <row r="47" spans="1:13" x14ac:dyDescent="0.3">
      <c r="A47" t="str">
        <f>IF(COUNTIF(Sheet2!A:A,D47)&gt;0,"Ada","Tidak Ada")</f>
        <v>Ada</v>
      </c>
      <c r="C47">
        <f>IF(A47="Ada",IF(IFERROR(VLOOKUP(D47,Sheet2!A:D,2,FALSE),"")="",IFERROR(VLOOKUP(D47,Sheet2!A:D,3,FALSE),""),VLOOKUP(D47,Sheet2!A:D,2,FALSE)),"")</f>
        <v>2300305</v>
      </c>
      <c r="D47" s="2">
        <v>1571296305</v>
      </c>
      <c r="E47" t="s">
        <v>0</v>
      </c>
      <c r="F47" t="s">
        <v>96</v>
      </c>
      <c r="G47" t="s">
        <v>97</v>
      </c>
      <c r="H47" s="1">
        <v>46247</v>
      </c>
      <c r="I47" t="s">
        <v>3</v>
      </c>
      <c r="J47" t="s">
        <v>4</v>
      </c>
      <c r="K47" t="s">
        <v>5</v>
      </c>
      <c r="L47" t="s">
        <v>6</v>
      </c>
      <c r="M47" t="s">
        <v>7</v>
      </c>
    </row>
    <row r="48" spans="1:13" x14ac:dyDescent="0.3">
      <c r="A48" t="str">
        <f>IF(COUNTIF(Sheet2!A:A,D48)&gt;0,"Ada","Tidak Ada")</f>
        <v>Tidak Ada</v>
      </c>
      <c r="C48" t="str">
        <f>IF(A48="Ada",IF(IFERROR(VLOOKUP(D48,Sheet2!A:D,2,FALSE),"")="",IFERROR(VLOOKUP(D48,Sheet2!A:D,3,FALSE),""),VLOOKUP(D48,Sheet2!A:D,2,FALSE)),"")</f>
        <v/>
      </c>
      <c r="D48" s="2">
        <v>1571296467</v>
      </c>
      <c r="E48" t="s">
        <v>0</v>
      </c>
      <c r="F48" t="s">
        <v>98</v>
      </c>
      <c r="G48" t="s">
        <v>99</v>
      </c>
      <c r="H48" s="1">
        <v>46247</v>
      </c>
      <c r="I48" t="s">
        <v>3</v>
      </c>
      <c r="J48" t="s">
        <v>4</v>
      </c>
      <c r="K48" t="s">
        <v>5</v>
      </c>
      <c r="L48" t="s">
        <v>6</v>
      </c>
      <c r="M48" t="s">
        <v>7</v>
      </c>
    </row>
    <row r="49" spans="1:13" x14ac:dyDescent="0.3">
      <c r="A49" t="str">
        <f>IF(COUNTIF(Sheet2!A:A,D49)&gt;0,"Ada","Tidak Ada")</f>
        <v>Tidak Ada</v>
      </c>
      <c r="C49" t="str">
        <f>IF(A49="Ada",IF(IFERROR(VLOOKUP(D49,Sheet2!A:D,2,FALSE),"")="",IFERROR(VLOOKUP(D49,Sheet2!A:D,3,FALSE),""),VLOOKUP(D49,Sheet2!A:D,2,FALSE)),"")</f>
        <v/>
      </c>
      <c r="D49" s="2">
        <v>1571296538</v>
      </c>
      <c r="E49" t="s">
        <v>0</v>
      </c>
      <c r="F49" t="s">
        <v>100</v>
      </c>
      <c r="G49" t="s">
        <v>101</v>
      </c>
      <c r="H49" s="1">
        <v>46247</v>
      </c>
      <c r="I49" t="s">
        <v>3</v>
      </c>
      <c r="J49" t="s">
        <v>4</v>
      </c>
      <c r="K49" t="s">
        <v>5</v>
      </c>
      <c r="L49" t="s">
        <v>6</v>
      </c>
      <c r="M49" t="s">
        <v>7</v>
      </c>
    </row>
    <row r="50" spans="1:13" x14ac:dyDescent="0.3">
      <c r="A50" t="str">
        <f>IF(COUNTIF(Sheet2!A:A,D50)&gt;0,"Ada","Tidak Ada")</f>
        <v>Tidak Ada</v>
      </c>
      <c r="C50" t="str">
        <f>IF(A50="Ada",IF(IFERROR(VLOOKUP(D50,Sheet2!A:D,2,FALSE),"")="",IFERROR(VLOOKUP(D50,Sheet2!A:D,3,FALSE),""),VLOOKUP(D50,Sheet2!A:D,2,FALSE)),"")</f>
        <v/>
      </c>
      <c r="D50" s="2">
        <v>1571296859</v>
      </c>
      <c r="E50" t="s">
        <v>0</v>
      </c>
      <c r="F50" t="s">
        <v>102</v>
      </c>
      <c r="G50" t="s">
        <v>103</v>
      </c>
      <c r="H50" s="1">
        <v>46247</v>
      </c>
      <c r="I50" t="s">
        <v>3</v>
      </c>
      <c r="J50" t="s">
        <v>4</v>
      </c>
      <c r="K50" t="s">
        <v>5</v>
      </c>
      <c r="L50" t="s">
        <v>6</v>
      </c>
      <c r="M50" t="s">
        <v>7</v>
      </c>
    </row>
    <row r="51" spans="1:13" x14ac:dyDescent="0.3">
      <c r="A51" t="str">
        <f>IF(COUNTIF(Sheet2!A:A,D51)&gt;0,"Ada","Tidak Ada")</f>
        <v>Ada</v>
      </c>
      <c r="C51">
        <f>IF(A51="Ada",IF(IFERROR(VLOOKUP(D51,Sheet2!A:D,2,FALSE),"")="",IFERROR(VLOOKUP(D51,Sheet2!A:D,3,FALSE),""),VLOOKUP(D51,Sheet2!A:D,2,FALSE)),"")</f>
        <v>2300897</v>
      </c>
      <c r="D51" s="2">
        <v>1571297897</v>
      </c>
      <c r="E51" t="s">
        <v>0</v>
      </c>
      <c r="F51" t="s">
        <v>104</v>
      </c>
      <c r="G51" t="s">
        <v>105</v>
      </c>
      <c r="H51" s="1">
        <v>46247</v>
      </c>
      <c r="I51" t="s">
        <v>3</v>
      </c>
      <c r="J51" t="s">
        <v>4</v>
      </c>
      <c r="K51" t="s">
        <v>5</v>
      </c>
      <c r="L51" t="s">
        <v>6</v>
      </c>
      <c r="M51" t="s">
        <v>7</v>
      </c>
    </row>
    <row r="52" spans="1:13" x14ac:dyDescent="0.3">
      <c r="A52" t="str">
        <f>IF(COUNTIF(Sheet2!A:A,D52)&gt;0,"Ada","Tidak Ada")</f>
        <v>Ada</v>
      </c>
      <c r="C52">
        <f>IF(A52="Ada",IF(IFERROR(VLOOKUP(D52,Sheet2!A:D,2,FALSE),"")="",IFERROR(VLOOKUP(D52,Sheet2!A:D,3,FALSE),""),VLOOKUP(D52,Sheet2!A:D,2,FALSE)),"")</f>
        <v>2300038</v>
      </c>
      <c r="D52" s="2">
        <v>1571298038</v>
      </c>
      <c r="E52" t="s">
        <v>0</v>
      </c>
      <c r="F52" t="s">
        <v>106</v>
      </c>
      <c r="G52" t="s">
        <v>107</v>
      </c>
      <c r="H52" s="1">
        <v>46247</v>
      </c>
      <c r="I52" t="s">
        <v>3</v>
      </c>
      <c r="J52" t="s">
        <v>4</v>
      </c>
      <c r="K52" t="s">
        <v>5</v>
      </c>
      <c r="L52" t="s">
        <v>6</v>
      </c>
      <c r="M52" t="s">
        <v>7</v>
      </c>
    </row>
    <row r="53" spans="1:13" x14ac:dyDescent="0.3">
      <c r="A53" t="str">
        <f>IF(COUNTIF(Sheet2!A:A,D53)&gt;0,"Ada","Tidak Ada")</f>
        <v>Ada</v>
      </c>
      <c r="C53">
        <f>IF(A53="Ada",IF(IFERROR(VLOOKUP(D53,Sheet2!A:D,2,FALSE),"")="",IFERROR(VLOOKUP(D53,Sheet2!A:D,3,FALSE),""),VLOOKUP(D53,Sheet2!A:D,2,FALSE)),"")</f>
        <v>2300045</v>
      </c>
      <c r="D53" s="2">
        <v>1571298045</v>
      </c>
      <c r="E53" t="s">
        <v>0</v>
      </c>
      <c r="F53" t="s">
        <v>108</v>
      </c>
      <c r="G53" t="s">
        <v>109</v>
      </c>
      <c r="H53" s="1">
        <v>46247</v>
      </c>
      <c r="I53" t="s">
        <v>3</v>
      </c>
      <c r="J53" t="s">
        <v>4</v>
      </c>
      <c r="K53" t="s">
        <v>5</v>
      </c>
      <c r="L53" t="s">
        <v>6</v>
      </c>
      <c r="M53" t="s">
        <v>7</v>
      </c>
    </row>
    <row r="54" spans="1:13" x14ac:dyDescent="0.3">
      <c r="A54" t="str">
        <f>IF(COUNTIF(Sheet2!A:A,D54)&gt;0,"Ada","Tidak Ada")</f>
        <v>Ada</v>
      </c>
      <c r="C54">
        <f>IF(A54="Ada",IF(IFERROR(VLOOKUP(D54,Sheet2!A:D,2,FALSE),"")="",IFERROR(VLOOKUP(D54,Sheet2!A:D,3,FALSE),""),VLOOKUP(D54,Sheet2!A:D,2,FALSE)),"")</f>
        <v>2300209</v>
      </c>
      <c r="D54" s="2">
        <v>1571298209</v>
      </c>
      <c r="E54" t="s">
        <v>0</v>
      </c>
      <c r="F54" t="s">
        <v>110</v>
      </c>
      <c r="G54" t="s">
        <v>111</v>
      </c>
      <c r="H54" s="1">
        <v>46247</v>
      </c>
      <c r="I54" t="s">
        <v>3</v>
      </c>
      <c r="J54" t="s">
        <v>4</v>
      </c>
      <c r="K54" t="s">
        <v>5</v>
      </c>
      <c r="L54" t="s">
        <v>6</v>
      </c>
      <c r="M54" t="s">
        <v>7</v>
      </c>
    </row>
    <row r="55" spans="1:13" x14ac:dyDescent="0.3">
      <c r="A55" t="str">
        <f>IF(COUNTIF(Sheet2!A:A,D55)&gt;0,"Ada","Tidak Ada")</f>
        <v>Tidak Ada</v>
      </c>
      <c r="C55" t="str">
        <f>IF(A55="Ada",IF(IFERROR(VLOOKUP(D55,Sheet2!A:D,2,FALSE),"")="",IFERROR(VLOOKUP(D55,Sheet2!A:D,3,FALSE),""),VLOOKUP(D55,Sheet2!A:D,2,FALSE)),"")</f>
        <v/>
      </c>
      <c r="D55" s="2">
        <v>1571298211</v>
      </c>
      <c r="E55" t="s">
        <v>0</v>
      </c>
      <c r="F55" t="s">
        <v>112</v>
      </c>
      <c r="G55" t="s">
        <v>113</v>
      </c>
      <c r="H55" s="1">
        <v>46247</v>
      </c>
      <c r="I55" t="s">
        <v>3</v>
      </c>
      <c r="J55" t="s">
        <v>4</v>
      </c>
      <c r="K55" t="s">
        <v>5</v>
      </c>
      <c r="L55" t="s">
        <v>6</v>
      </c>
      <c r="M55" t="s">
        <v>7</v>
      </c>
    </row>
    <row r="56" spans="1:13" x14ac:dyDescent="0.3">
      <c r="A56" t="str">
        <f>IF(COUNTIF(Sheet2!A:A,D56)&gt;0,"Ada","Tidak Ada")</f>
        <v>Ada</v>
      </c>
      <c r="C56">
        <f>IF(A56="Ada",IF(IFERROR(VLOOKUP(D56,Sheet2!A:D,2,FALSE),"")="",IFERROR(VLOOKUP(D56,Sheet2!A:D,3,FALSE),""),VLOOKUP(D56,Sheet2!A:D,2,FALSE)),"")</f>
        <v>0</v>
      </c>
      <c r="D56" s="2">
        <v>1571298278</v>
      </c>
      <c r="E56" t="s">
        <v>0</v>
      </c>
      <c r="F56" t="s">
        <v>114</v>
      </c>
      <c r="G56" t="s">
        <v>115</v>
      </c>
      <c r="H56" s="1">
        <v>46247</v>
      </c>
      <c r="I56" t="s">
        <v>3</v>
      </c>
      <c r="J56" t="s">
        <v>4</v>
      </c>
      <c r="K56" t="s">
        <v>5</v>
      </c>
      <c r="L56" t="s">
        <v>6</v>
      </c>
      <c r="M56" t="s">
        <v>7</v>
      </c>
    </row>
    <row r="57" spans="1:13" x14ac:dyDescent="0.3">
      <c r="A57" t="str">
        <f>IF(COUNTIF(Sheet2!A:A,D57)&gt;0,"Ada","Tidak Ada")</f>
        <v>Tidak Ada</v>
      </c>
      <c r="C57" t="str">
        <f>IF(A57="Ada",IF(IFERROR(VLOOKUP(D57,Sheet2!A:D,2,FALSE),"")="",IFERROR(VLOOKUP(D57,Sheet2!A:D,3,FALSE),""),VLOOKUP(D57,Sheet2!A:D,2,FALSE)),"")</f>
        <v/>
      </c>
      <c r="D57" s="2">
        <v>1571298336</v>
      </c>
      <c r="E57" t="s">
        <v>0</v>
      </c>
      <c r="F57" t="s">
        <v>116</v>
      </c>
      <c r="G57" t="s">
        <v>117</v>
      </c>
      <c r="H57" s="1">
        <v>46247</v>
      </c>
      <c r="I57" t="s">
        <v>3</v>
      </c>
      <c r="J57" t="s">
        <v>4</v>
      </c>
      <c r="K57" t="s">
        <v>5</v>
      </c>
      <c r="L57" t="s">
        <v>6</v>
      </c>
      <c r="M57" t="s">
        <v>7</v>
      </c>
    </row>
    <row r="58" spans="1:13" x14ac:dyDescent="0.3">
      <c r="A58" t="str">
        <f>IF(COUNTIF(Sheet2!A:A,D58)&gt;0,"Ada","Tidak Ada")</f>
        <v>Ada</v>
      </c>
      <c r="C58">
        <f>IF(A58="Ada",IF(IFERROR(VLOOKUP(D58,Sheet2!A:D,2,FALSE),"")="",IFERROR(VLOOKUP(D58,Sheet2!A:D,3,FALSE),""),VLOOKUP(D58,Sheet2!A:D,2,FALSE)),"")</f>
        <v>2500391</v>
      </c>
      <c r="D58" s="2">
        <v>1571298391</v>
      </c>
      <c r="E58" t="s">
        <v>0</v>
      </c>
      <c r="F58" t="s">
        <v>118</v>
      </c>
      <c r="G58" t="s">
        <v>119</v>
      </c>
      <c r="H58" s="1">
        <v>46247</v>
      </c>
      <c r="I58" t="s">
        <v>3</v>
      </c>
      <c r="J58" t="s">
        <v>4</v>
      </c>
      <c r="K58" t="s">
        <v>5</v>
      </c>
      <c r="L58" t="s">
        <v>6</v>
      </c>
      <c r="M58" t="s">
        <v>7</v>
      </c>
    </row>
    <row r="59" spans="1:13" x14ac:dyDescent="0.3">
      <c r="A59" t="str">
        <f>IF(COUNTIF(Sheet2!A:A,D59)&gt;0,"Ada","Tidak Ada")</f>
        <v>Ada</v>
      </c>
      <c r="C59">
        <f>IF(A59="Ada",IF(IFERROR(VLOOKUP(D59,Sheet2!A:D,2,FALSE),"")="",IFERROR(VLOOKUP(D59,Sheet2!A:D,3,FALSE),""),VLOOKUP(D59,Sheet2!A:D,2,FALSE)),"")</f>
        <v>2300458</v>
      </c>
      <c r="D59" s="2">
        <v>1571298458</v>
      </c>
      <c r="E59" t="s">
        <v>0</v>
      </c>
      <c r="F59" t="s">
        <v>120</v>
      </c>
      <c r="G59" t="s">
        <v>121</v>
      </c>
      <c r="H59" s="1">
        <v>46247</v>
      </c>
      <c r="I59" t="s">
        <v>3</v>
      </c>
      <c r="J59" t="s">
        <v>4</v>
      </c>
      <c r="K59" t="s">
        <v>5</v>
      </c>
      <c r="L59" t="s">
        <v>6</v>
      </c>
      <c r="M59" t="s">
        <v>7</v>
      </c>
    </row>
    <row r="60" spans="1:13" x14ac:dyDescent="0.3">
      <c r="A60" t="str">
        <f>IF(COUNTIF(Sheet2!A:A,D60)&gt;0,"Ada","Tidak Ada")</f>
        <v>Tidak Ada</v>
      </c>
      <c r="C60" t="str">
        <f>IF(A60="Ada",IF(IFERROR(VLOOKUP(D60,Sheet2!A:D,2,FALSE),"")="",IFERROR(VLOOKUP(D60,Sheet2!A:D,3,FALSE),""),VLOOKUP(D60,Sheet2!A:D,2,FALSE)),"")</f>
        <v/>
      </c>
      <c r="D60" s="2">
        <v>1571298491</v>
      </c>
      <c r="E60" t="s">
        <v>0</v>
      </c>
      <c r="F60" t="s">
        <v>122</v>
      </c>
      <c r="G60" t="s">
        <v>123</v>
      </c>
      <c r="H60" s="1">
        <v>46247</v>
      </c>
      <c r="I60" t="s">
        <v>3</v>
      </c>
      <c r="J60" t="s">
        <v>4</v>
      </c>
      <c r="K60" t="s">
        <v>5</v>
      </c>
      <c r="L60" t="s">
        <v>6</v>
      </c>
      <c r="M60" t="s">
        <v>7</v>
      </c>
    </row>
    <row r="61" spans="1:13" x14ac:dyDescent="0.3">
      <c r="A61" t="str">
        <f>IF(COUNTIF(Sheet2!A:A,D61)&gt;0,"Ada","Tidak Ada")</f>
        <v>Ada</v>
      </c>
      <c r="C61">
        <f>IF(A61="Ada",IF(IFERROR(VLOOKUP(D61,Sheet2!A:D,2,FALSE),"")="",IFERROR(VLOOKUP(D61,Sheet2!A:D,3,FALSE),""),VLOOKUP(D61,Sheet2!A:D,2,FALSE)),"")</f>
        <v>0</v>
      </c>
      <c r="D61" s="2">
        <v>1571298535</v>
      </c>
      <c r="E61" t="s">
        <v>0</v>
      </c>
      <c r="F61" t="s">
        <v>124</v>
      </c>
      <c r="G61" t="s">
        <v>125</v>
      </c>
      <c r="H61" s="1">
        <v>46247</v>
      </c>
      <c r="I61" t="s">
        <v>3</v>
      </c>
      <c r="J61" t="s">
        <v>4</v>
      </c>
      <c r="K61" t="s">
        <v>5</v>
      </c>
      <c r="L61" t="s">
        <v>6</v>
      </c>
      <c r="M61" t="s">
        <v>7</v>
      </c>
    </row>
    <row r="62" spans="1:13" x14ac:dyDescent="0.3">
      <c r="A62" t="str">
        <f>IF(COUNTIF(Sheet2!A:A,D62)&gt;0,"Ada","Tidak Ada")</f>
        <v>Ada</v>
      </c>
      <c r="C62">
        <f>IF(A62="Ada",IF(IFERROR(VLOOKUP(D62,Sheet2!A:D,2,FALSE),"")="",IFERROR(VLOOKUP(D62,Sheet2!A:D,3,FALSE),""),VLOOKUP(D62,Sheet2!A:D,2,FALSE)),"")</f>
        <v>2100000</v>
      </c>
      <c r="D62" s="2">
        <v>1571298550</v>
      </c>
      <c r="E62" t="s">
        <v>0</v>
      </c>
      <c r="F62" t="s">
        <v>126</v>
      </c>
      <c r="G62" t="s">
        <v>127</v>
      </c>
      <c r="H62" s="1">
        <v>46247</v>
      </c>
      <c r="I62" t="s">
        <v>3</v>
      </c>
      <c r="J62" t="s">
        <v>4</v>
      </c>
      <c r="K62" t="s">
        <v>5</v>
      </c>
      <c r="L62" t="s">
        <v>6</v>
      </c>
      <c r="M62" t="s">
        <v>7</v>
      </c>
    </row>
    <row r="63" spans="1:13" x14ac:dyDescent="0.3">
      <c r="A63" t="str">
        <f>IF(COUNTIF(Sheet2!A:A,D63)&gt;0,"Ada","Tidak Ada")</f>
        <v>Ada</v>
      </c>
      <c r="C63">
        <f>IF(A63="Ada",IF(IFERROR(VLOOKUP(D63,Sheet2!A:D,2,FALSE),"")="",IFERROR(VLOOKUP(D63,Sheet2!A:D,3,FALSE),""),VLOOKUP(D63,Sheet2!A:D,2,FALSE)),"")</f>
        <v>3000558</v>
      </c>
      <c r="D63" s="2">
        <v>1571298558</v>
      </c>
      <c r="E63" t="s">
        <v>0</v>
      </c>
      <c r="F63" t="s">
        <v>128</v>
      </c>
      <c r="G63" t="s">
        <v>129</v>
      </c>
      <c r="H63" s="1">
        <v>46247</v>
      </c>
      <c r="I63" t="s">
        <v>3</v>
      </c>
      <c r="J63" t="s">
        <v>4</v>
      </c>
      <c r="K63" t="s">
        <v>5</v>
      </c>
      <c r="L63" t="s">
        <v>6</v>
      </c>
      <c r="M63" t="s">
        <v>7</v>
      </c>
    </row>
    <row r="64" spans="1:13" x14ac:dyDescent="0.3">
      <c r="A64" t="str">
        <f>IF(COUNTIF(Sheet2!A:A,D64)&gt;0,"Ada","Tidak Ada")</f>
        <v>Tidak Ada</v>
      </c>
      <c r="C64" t="str">
        <f>IF(A64="Ada",IF(IFERROR(VLOOKUP(D64,Sheet2!A:D,2,FALSE),"")="",IFERROR(VLOOKUP(D64,Sheet2!A:D,3,FALSE),""),VLOOKUP(D64,Sheet2!A:D,2,FALSE)),"")</f>
        <v/>
      </c>
      <c r="D64" s="2">
        <v>1571298670</v>
      </c>
      <c r="E64" t="s">
        <v>0</v>
      </c>
      <c r="F64" t="s">
        <v>130</v>
      </c>
      <c r="G64" t="s">
        <v>131</v>
      </c>
      <c r="H64" s="1">
        <v>46247</v>
      </c>
      <c r="I64" t="s">
        <v>3</v>
      </c>
      <c r="J64" t="s">
        <v>4</v>
      </c>
      <c r="K64" t="s">
        <v>5</v>
      </c>
      <c r="L64" t="s">
        <v>6</v>
      </c>
      <c r="M64" t="s">
        <v>7</v>
      </c>
    </row>
    <row r="65" spans="1:13" x14ac:dyDescent="0.3">
      <c r="A65" t="str">
        <f>IF(COUNTIF(Sheet2!A:A,D65)&gt;0,"Ada","Tidak Ada")</f>
        <v>Tidak Ada</v>
      </c>
      <c r="C65" t="str">
        <f>IF(A65="Ada",IF(IFERROR(VLOOKUP(D65,Sheet2!A:D,2,FALSE),"")="",IFERROR(VLOOKUP(D65,Sheet2!A:D,3,FALSE),""),VLOOKUP(D65,Sheet2!A:D,2,FALSE)),"")</f>
        <v/>
      </c>
      <c r="D65" s="2">
        <v>1571298839</v>
      </c>
      <c r="E65" t="s">
        <v>0</v>
      </c>
      <c r="F65" t="s">
        <v>132</v>
      </c>
      <c r="G65" t="s">
        <v>133</v>
      </c>
      <c r="H65" s="1">
        <v>46247</v>
      </c>
      <c r="I65" t="s">
        <v>3</v>
      </c>
      <c r="J65" t="s">
        <v>4</v>
      </c>
      <c r="K65" t="s">
        <v>5</v>
      </c>
      <c r="L65" t="s">
        <v>6</v>
      </c>
      <c r="M65" t="s">
        <v>7</v>
      </c>
    </row>
    <row r="66" spans="1:13" x14ac:dyDescent="0.3">
      <c r="A66" t="str">
        <f>IF(COUNTIF(Sheet2!A:A,D66)&gt;0,"Ada","Tidak Ada")</f>
        <v>Ada</v>
      </c>
      <c r="C66">
        <f>IF(A66="Ada",IF(IFERROR(VLOOKUP(D66,Sheet2!A:D,2,FALSE),"")="",IFERROR(VLOOKUP(D66,Sheet2!A:D,3,FALSE),""),VLOOKUP(D66,Sheet2!A:D,2,FALSE)),"")</f>
        <v>2300976</v>
      </c>
      <c r="D66" s="2">
        <v>1571298976</v>
      </c>
      <c r="E66" t="s">
        <v>0</v>
      </c>
      <c r="F66" t="s">
        <v>134</v>
      </c>
      <c r="G66" t="s">
        <v>135</v>
      </c>
      <c r="H66" s="1">
        <v>46247</v>
      </c>
      <c r="I66" t="s">
        <v>3</v>
      </c>
      <c r="J66" t="s">
        <v>4</v>
      </c>
      <c r="K66" t="s">
        <v>5</v>
      </c>
      <c r="L66" t="s">
        <v>6</v>
      </c>
      <c r="M66" t="s">
        <v>7</v>
      </c>
    </row>
    <row r="67" spans="1:13" x14ac:dyDescent="0.3">
      <c r="A67" t="str">
        <f>IF(COUNTIF(Sheet2!A:A,D67)&gt;0,"Ada","Tidak Ada")</f>
        <v>Ada</v>
      </c>
      <c r="C67">
        <f>IF(A67="Ada",IF(IFERROR(VLOOKUP(D67,Sheet2!A:D,2,FALSE),"")="",IFERROR(VLOOKUP(D67,Sheet2!A:D,3,FALSE),""),VLOOKUP(D67,Sheet2!A:D,2,FALSE)),"")</f>
        <v>0</v>
      </c>
      <c r="D67" s="2">
        <v>1571299336</v>
      </c>
      <c r="E67" t="s">
        <v>0</v>
      </c>
      <c r="F67" t="s">
        <v>136</v>
      </c>
      <c r="G67" t="s">
        <v>137</v>
      </c>
      <c r="H67" s="1">
        <v>46247</v>
      </c>
      <c r="I67" t="s">
        <v>3</v>
      </c>
      <c r="J67" t="s">
        <v>4</v>
      </c>
      <c r="K67" t="s">
        <v>5</v>
      </c>
      <c r="L67" t="s">
        <v>6</v>
      </c>
      <c r="M67" t="s">
        <v>7</v>
      </c>
    </row>
    <row r="68" spans="1:13" x14ac:dyDescent="0.3">
      <c r="A68" t="str">
        <f>IF(COUNTIF(Sheet2!A:A,D68)&gt;0,"Ada","Tidak Ada")</f>
        <v>Ada</v>
      </c>
      <c r="C68">
        <f>IF(A68="Ada",IF(IFERROR(VLOOKUP(D68,Sheet2!A:D,2,FALSE),"")="",IFERROR(VLOOKUP(D68,Sheet2!A:D,3,FALSE),""),VLOOKUP(D68,Sheet2!A:D,2,FALSE)),"")</f>
        <v>2700264</v>
      </c>
      <c r="D68" s="2">
        <v>1571300264</v>
      </c>
      <c r="E68" t="s">
        <v>0</v>
      </c>
      <c r="F68" t="s">
        <v>138</v>
      </c>
      <c r="G68" t="s">
        <v>139</v>
      </c>
      <c r="H68" s="1">
        <v>46247</v>
      </c>
      <c r="I68" t="s">
        <v>3</v>
      </c>
      <c r="J68" t="s">
        <v>4</v>
      </c>
      <c r="K68" t="s">
        <v>5</v>
      </c>
      <c r="L68" t="s">
        <v>6</v>
      </c>
      <c r="M68" t="s">
        <v>7</v>
      </c>
    </row>
    <row r="69" spans="1:13" x14ac:dyDescent="0.3">
      <c r="A69" t="str">
        <f>IF(COUNTIF(Sheet2!A:A,D69)&gt;0,"Ada","Tidak Ada")</f>
        <v>Ada</v>
      </c>
      <c r="C69">
        <f>IF(A69="Ada",IF(IFERROR(VLOOKUP(D69,Sheet2!A:D,2,FALSE),"")="",IFERROR(VLOOKUP(D69,Sheet2!A:D,3,FALSE),""),VLOOKUP(D69,Sheet2!A:D,2,FALSE)),"")</f>
        <v>0</v>
      </c>
      <c r="D69" s="2">
        <v>1571300636</v>
      </c>
      <c r="E69" t="s">
        <v>0</v>
      </c>
      <c r="F69" t="s">
        <v>140</v>
      </c>
      <c r="G69" t="s">
        <v>141</v>
      </c>
      <c r="H69" s="1">
        <v>46247</v>
      </c>
      <c r="I69" t="s">
        <v>3</v>
      </c>
      <c r="J69" t="s">
        <v>4</v>
      </c>
      <c r="K69" t="s">
        <v>5</v>
      </c>
      <c r="L69" t="s">
        <v>6</v>
      </c>
      <c r="M69" t="s">
        <v>7</v>
      </c>
    </row>
    <row r="70" spans="1:13" x14ac:dyDescent="0.3">
      <c r="A70" t="str">
        <f>IF(COUNTIF(Sheet2!A:A,D70)&gt;0,"Ada","Tidak Ada")</f>
        <v>Ada</v>
      </c>
      <c r="C70">
        <f>IF(A70="Ada",IF(IFERROR(VLOOKUP(D70,Sheet2!A:D,2,FALSE),"")="",IFERROR(VLOOKUP(D70,Sheet2!A:D,3,FALSE),""),VLOOKUP(D70,Sheet2!A:D,2,FALSE)),"")</f>
        <v>2300706</v>
      </c>
      <c r="D70" s="2">
        <v>1571300706</v>
      </c>
      <c r="E70" t="s">
        <v>0</v>
      </c>
      <c r="F70" t="s">
        <v>142</v>
      </c>
      <c r="G70" t="s">
        <v>143</v>
      </c>
      <c r="H70" s="1">
        <v>46247</v>
      </c>
      <c r="I70" t="s">
        <v>3</v>
      </c>
      <c r="J70" t="s">
        <v>4</v>
      </c>
      <c r="K70" t="s">
        <v>5</v>
      </c>
      <c r="L70" t="s">
        <v>6</v>
      </c>
      <c r="M70" t="s">
        <v>7</v>
      </c>
    </row>
    <row r="71" spans="1:13" x14ac:dyDescent="0.3">
      <c r="A71" t="str">
        <f>IF(COUNTIF(Sheet2!A:A,D71)&gt;0,"Ada","Tidak Ada")</f>
        <v>Ada</v>
      </c>
      <c r="C71">
        <f>IF(A71="Ada",IF(IFERROR(VLOOKUP(D71,Sheet2!A:D,2,FALSE),"")="",IFERROR(VLOOKUP(D71,Sheet2!A:D,3,FALSE),""),VLOOKUP(D71,Sheet2!A:D,2,FALSE)),"")</f>
        <v>3000191</v>
      </c>
      <c r="D71" s="2">
        <v>1571301191</v>
      </c>
      <c r="E71" t="s">
        <v>0</v>
      </c>
      <c r="F71" t="s">
        <v>144</v>
      </c>
      <c r="G71" t="s">
        <v>145</v>
      </c>
      <c r="H71" s="1">
        <v>46247</v>
      </c>
      <c r="I71" t="s">
        <v>3</v>
      </c>
      <c r="J71" t="s">
        <v>4</v>
      </c>
      <c r="K71" t="s">
        <v>5</v>
      </c>
      <c r="L71" t="s">
        <v>6</v>
      </c>
      <c r="M71" t="s">
        <v>7</v>
      </c>
    </row>
    <row r="72" spans="1:13" x14ac:dyDescent="0.3">
      <c r="A72" t="str">
        <f>IF(COUNTIF(Sheet2!A:A,D72)&gt;0,"Ada","Tidak Ada")</f>
        <v>Tidak Ada</v>
      </c>
      <c r="C72" t="str">
        <f>IF(A72="Ada",IF(IFERROR(VLOOKUP(D72,Sheet2!A:D,2,FALSE),"")="",IFERROR(VLOOKUP(D72,Sheet2!A:D,3,FALSE),""),VLOOKUP(D72,Sheet2!A:D,2,FALSE)),"")</f>
        <v/>
      </c>
      <c r="D72" s="2">
        <v>1571301987</v>
      </c>
      <c r="E72" t="s">
        <v>0</v>
      </c>
      <c r="F72" t="s">
        <v>146</v>
      </c>
      <c r="G72" t="s">
        <v>147</v>
      </c>
      <c r="H72" s="1">
        <v>46247</v>
      </c>
      <c r="I72" t="s">
        <v>3</v>
      </c>
      <c r="J72" t="s">
        <v>4</v>
      </c>
      <c r="K72" t="s">
        <v>5</v>
      </c>
      <c r="L72" t="s">
        <v>6</v>
      </c>
      <c r="M72" t="s">
        <v>7</v>
      </c>
    </row>
    <row r="73" spans="1:13" x14ac:dyDescent="0.3">
      <c r="A73" t="str">
        <f>IF(COUNTIF(Sheet2!A:A,D73)&gt;0,"Ada","Tidak Ada")</f>
        <v>Ada</v>
      </c>
      <c r="C73">
        <f>IF(A73="Ada",IF(IFERROR(VLOOKUP(D73,Sheet2!A:D,2,FALSE),"")="",IFERROR(VLOOKUP(D73,Sheet2!A:D,3,FALSE),""),VLOOKUP(D73,Sheet2!A:D,2,FALSE)),"")</f>
        <v>2700126</v>
      </c>
      <c r="D73" s="2">
        <v>1571303126</v>
      </c>
      <c r="E73" t="s">
        <v>0</v>
      </c>
      <c r="F73" t="s">
        <v>148</v>
      </c>
      <c r="G73" t="s">
        <v>149</v>
      </c>
      <c r="H73" s="1">
        <v>46247</v>
      </c>
      <c r="I73" t="s">
        <v>3</v>
      </c>
      <c r="J73" t="s">
        <v>4</v>
      </c>
      <c r="K73" t="s">
        <v>5</v>
      </c>
      <c r="L73" t="s">
        <v>6</v>
      </c>
      <c r="M73" t="s">
        <v>7</v>
      </c>
    </row>
    <row r="74" spans="1:13" x14ac:dyDescent="0.3">
      <c r="A74" t="str">
        <f>IF(COUNTIF(Sheet2!A:A,D74)&gt;0,"Ada","Tidak Ada")</f>
        <v>Ada</v>
      </c>
      <c r="C74">
        <f>IF(A74="Ada",IF(IFERROR(VLOOKUP(D74,Sheet2!A:D,2,FALSE),"")="",IFERROR(VLOOKUP(D74,Sheet2!A:D,3,FALSE),""),VLOOKUP(D74,Sheet2!A:D,2,FALSE)),"")</f>
        <v>2300164</v>
      </c>
      <c r="D74" s="2">
        <v>1571304164</v>
      </c>
      <c r="E74" t="s">
        <v>0</v>
      </c>
      <c r="F74" t="s">
        <v>150</v>
      </c>
      <c r="G74" t="s">
        <v>151</v>
      </c>
      <c r="H74" s="1">
        <v>46247</v>
      </c>
      <c r="I74" t="s">
        <v>3</v>
      </c>
      <c r="J74" t="s">
        <v>4</v>
      </c>
      <c r="K74" t="s">
        <v>5</v>
      </c>
      <c r="L74" t="s">
        <v>6</v>
      </c>
      <c r="M74" t="s">
        <v>7</v>
      </c>
    </row>
    <row r="75" spans="1:13" x14ac:dyDescent="0.3">
      <c r="A75" t="str">
        <f>IF(COUNTIF(Sheet2!A:A,D75)&gt;0,"Ada","Tidak Ada")</f>
        <v>Ada</v>
      </c>
      <c r="C75">
        <f>IF(A75="Ada",IF(IFERROR(VLOOKUP(D75,Sheet2!A:D,2,FALSE),"")="",IFERROR(VLOOKUP(D75,Sheet2!A:D,3,FALSE),""),VLOOKUP(D75,Sheet2!A:D,2,FALSE)),"")</f>
        <v>2300167</v>
      </c>
      <c r="D75" s="2">
        <v>1571304167</v>
      </c>
      <c r="E75" t="s">
        <v>0</v>
      </c>
      <c r="F75" t="s">
        <v>152</v>
      </c>
      <c r="G75" t="s">
        <v>153</v>
      </c>
      <c r="H75" s="1">
        <v>46247</v>
      </c>
      <c r="I75" t="s">
        <v>3</v>
      </c>
      <c r="J75" t="s">
        <v>4</v>
      </c>
      <c r="K75" t="s">
        <v>5</v>
      </c>
      <c r="L75" t="s">
        <v>6</v>
      </c>
      <c r="M75" t="s">
        <v>7</v>
      </c>
    </row>
    <row r="76" spans="1:13" x14ac:dyDescent="0.3">
      <c r="A76" t="str">
        <f>IF(COUNTIF(Sheet2!A:A,D76)&gt;0,"Ada","Tidak Ada")</f>
        <v>Tidak Ada</v>
      </c>
      <c r="C76" t="str">
        <f>IF(A76="Ada",IF(IFERROR(VLOOKUP(D76,Sheet2!A:D,2,FALSE),"")="",IFERROR(VLOOKUP(D76,Sheet2!A:D,3,FALSE),""),VLOOKUP(D76,Sheet2!A:D,2,FALSE)),"")</f>
        <v/>
      </c>
      <c r="D76" s="2">
        <v>1571304299</v>
      </c>
      <c r="E76" t="s">
        <v>0</v>
      </c>
      <c r="F76" t="s">
        <v>154</v>
      </c>
      <c r="G76" t="s">
        <v>155</v>
      </c>
      <c r="H76" s="1">
        <v>46247</v>
      </c>
      <c r="I76" t="s">
        <v>3</v>
      </c>
      <c r="J76" t="s">
        <v>4</v>
      </c>
      <c r="K76" t="s">
        <v>5</v>
      </c>
      <c r="L76" t="s">
        <v>6</v>
      </c>
      <c r="M76" t="s">
        <v>7</v>
      </c>
    </row>
    <row r="77" spans="1:13" x14ac:dyDescent="0.3">
      <c r="A77" t="str">
        <f>IF(COUNTIF(Sheet2!A:A,D77)&gt;0,"Ada","Tidak Ada")</f>
        <v>Ada</v>
      </c>
      <c r="C77">
        <f>IF(A77="Ada",IF(IFERROR(VLOOKUP(D77,Sheet2!A:D,2,FALSE),"")="",IFERROR(VLOOKUP(D77,Sheet2!A:D,3,FALSE),""),VLOOKUP(D77,Sheet2!A:D,2,FALSE)),"")</f>
        <v>3403383</v>
      </c>
      <c r="D77" s="2">
        <v>1571304412</v>
      </c>
      <c r="E77" t="s">
        <v>0</v>
      </c>
      <c r="F77" t="s">
        <v>156</v>
      </c>
      <c r="G77" t="s">
        <v>157</v>
      </c>
      <c r="H77" s="1">
        <v>46247</v>
      </c>
      <c r="I77" t="s">
        <v>3</v>
      </c>
      <c r="J77" t="s">
        <v>4</v>
      </c>
      <c r="K77" t="s">
        <v>5</v>
      </c>
      <c r="L77" t="s">
        <v>6</v>
      </c>
      <c r="M77" t="s">
        <v>7</v>
      </c>
    </row>
    <row r="78" spans="1:13" x14ac:dyDescent="0.3">
      <c r="A78" t="str">
        <f>IF(COUNTIF(Sheet2!A:A,D78)&gt;0,"Ada","Tidak Ada")</f>
        <v>Tidak Ada</v>
      </c>
      <c r="C78" t="str">
        <f>IF(A78="Ada",IF(IFERROR(VLOOKUP(D78,Sheet2!A:D,2,FALSE),"")="",IFERROR(VLOOKUP(D78,Sheet2!A:D,3,FALSE),""),VLOOKUP(D78,Sheet2!A:D,2,FALSE)),"")</f>
        <v/>
      </c>
      <c r="D78" s="2">
        <v>1571304421</v>
      </c>
      <c r="E78" t="s">
        <v>0</v>
      </c>
      <c r="F78" t="s">
        <v>158</v>
      </c>
      <c r="G78" t="s">
        <v>159</v>
      </c>
      <c r="H78" s="1">
        <v>46247</v>
      </c>
      <c r="I78" t="s">
        <v>3</v>
      </c>
      <c r="J78" t="s">
        <v>4</v>
      </c>
      <c r="K78" t="s">
        <v>5</v>
      </c>
      <c r="L78" t="s">
        <v>6</v>
      </c>
      <c r="M78" t="s">
        <v>7</v>
      </c>
    </row>
    <row r="79" spans="1:13" x14ac:dyDescent="0.3">
      <c r="A79" t="str">
        <f>IF(COUNTIF(Sheet2!A:A,D79)&gt;0,"Ada","Tidak Ada")</f>
        <v>Ada</v>
      </c>
      <c r="C79">
        <f>IF(A79="Ada",IF(IFERROR(VLOOKUP(D79,Sheet2!A:D,2,FALSE),"")="",IFERROR(VLOOKUP(D79,Sheet2!A:D,3,FALSE),""),VLOOKUP(D79,Sheet2!A:D,2,FALSE)),"")</f>
        <v>0</v>
      </c>
      <c r="D79" s="2">
        <v>1571304705</v>
      </c>
      <c r="E79" t="s">
        <v>0</v>
      </c>
      <c r="F79" t="s">
        <v>160</v>
      </c>
      <c r="G79" t="s">
        <v>161</v>
      </c>
      <c r="H79" s="1">
        <v>46247</v>
      </c>
      <c r="I79" t="s">
        <v>3</v>
      </c>
      <c r="J79" t="s">
        <v>4</v>
      </c>
      <c r="K79" t="s">
        <v>5</v>
      </c>
      <c r="L79" t="s">
        <v>6</v>
      </c>
      <c r="M79" t="s">
        <v>7</v>
      </c>
    </row>
    <row r="80" spans="1:13" x14ac:dyDescent="0.3">
      <c r="A80" t="str">
        <f>IF(COUNTIF(Sheet2!A:A,D80)&gt;0,"Ada","Tidak Ada")</f>
        <v>Ada</v>
      </c>
      <c r="C80">
        <f>IF(A80="Ada",IF(IFERROR(VLOOKUP(D80,Sheet2!A:D,2,FALSE),"")="",IFERROR(VLOOKUP(D80,Sheet2!A:D,3,FALSE),""),VLOOKUP(D80,Sheet2!A:D,2,FALSE)),"")</f>
        <v>0</v>
      </c>
      <c r="D80" s="2">
        <v>1571304827</v>
      </c>
      <c r="E80" t="s">
        <v>0</v>
      </c>
      <c r="F80" t="s">
        <v>162</v>
      </c>
      <c r="G80" t="s">
        <v>163</v>
      </c>
      <c r="H80" s="1">
        <v>46247</v>
      </c>
      <c r="I80" t="s">
        <v>3</v>
      </c>
      <c r="J80" t="s">
        <v>4</v>
      </c>
      <c r="K80" t="s">
        <v>5</v>
      </c>
      <c r="L80" t="s">
        <v>6</v>
      </c>
      <c r="M80" t="s">
        <v>7</v>
      </c>
    </row>
    <row r="81" spans="1:13" x14ac:dyDescent="0.3">
      <c r="A81" t="str">
        <f>IF(COUNTIF(Sheet2!A:A,D81)&gt;0,"Ada","Tidak Ada")</f>
        <v>Ada</v>
      </c>
      <c r="C81">
        <f>IF(A81="Ada",IF(IFERROR(VLOOKUP(D81,Sheet2!A:D,2,FALSE),"")="",IFERROR(VLOOKUP(D81,Sheet2!A:D,3,FALSE),""),VLOOKUP(D81,Sheet2!A:D,2,FALSE)),"")</f>
        <v>2300122</v>
      </c>
      <c r="D81" s="2">
        <v>1571305122</v>
      </c>
      <c r="E81" t="s">
        <v>0</v>
      </c>
      <c r="F81" t="s">
        <v>164</v>
      </c>
      <c r="G81" t="s">
        <v>165</v>
      </c>
      <c r="H81" s="1">
        <v>46247</v>
      </c>
      <c r="I81" t="s">
        <v>3</v>
      </c>
      <c r="J81" t="s">
        <v>4</v>
      </c>
      <c r="K81" t="s">
        <v>5</v>
      </c>
      <c r="L81" t="s">
        <v>6</v>
      </c>
      <c r="M81" t="s">
        <v>7</v>
      </c>
    </row>
    <row r="82" spans="1:13" x14ac:dyDescent="0.3">
      <c r="A82" t="str">
        <f>IF(COUNTIF(Sheet2!A:A,D82)&gt;0,"Ada","Tidak Ada")</f>
        <v>Tidak Ada</v>
      </c>
      <c r="C82" t="str">
        <f>IF(A82="Ada",IF(IFERROR(VLOOKUP(D82,Sheet2!A:D,2,FALSE),"")="",IFERROR(VLOOKUP(D82,Sheet2!A:D,3,FALSE),""),VLOOKUP(D82,Sheet2!A:D,2,FALSE)),"")</f>
        <v/>
      </c>
      <c r="D82" s="2">
        <v>1571305134</v>
      </c>
      <c r="E82" t="s">
        <v>0</v>
      </c>
      <c r="F82" t="s">
        <v>166</v>
      </c>
      <c r="G82" t="s">
        <v>167</v>
      </c>
      <c r="H82" s="1">
        <v>46247</v>
      </c>
      <c r="I82" t="s">
        <v>3</v>
      </c>
      <c r="J82" t="s">
        <v>4</v>
      </c>
      <c r="K82" t="s">
        <v>5</v>
      </c>
      <c r="L82" t="s">
        <v>6</v>
      </c>
      <c r="M82" t="s">
        <v>7</v>
      </c>
    </row>
    <row r="83" spans="1:13" x14ac:dyDescent="0.3">
      <c r="A83" t="str">
        <f>IF(COUNTIF(Sheet2!A:A,D83)&gt;0,"Ada","Tidak Ada")</f>
        <v>Tidak Ada</v>
      </c>
      <c r="C83" t="str">
        <f>IF(A83="Ada",IF(IFERROR(VLOOKUP(D83,Sheet2!A:D,2,FALSE),"")="",IFERROR(VLOOKUP(D83,Sheet2!A:D,3,FALSE),""),VLOOKUP(D83,Sheet2!A:D,2,FALSE)),"")</f>
        <v/>
      </c>
      <c r="D83" s="2">
        <v>1571305135</v>
      </c>
      <c r="E83" t="s">
        <v>0</v>
      </c>
      <c r="F83" t="s">
        <v>168</v>
      </c>
      <c r="G83" t="s">
        <v>169</v>
      </c>
      <c r="H83" s="1">
        <v>46247</v>
      </c>
      <c r="I83" t="s">
        <v>3</v>
      </c>
      <c r="J83" t="s">
        <v>4</v>
      </c>
      <c r="K83" t="s">
        <v>5</v>
      </c>
      <c r="L83" t="s">
        <v>6</v>
      </c>
      <c r="M83" t="s">
        <v>7</v>
      </c>
    </row>
    <row r="84" spans="1:13" x14ac:dyDescent="0.3">
      <c r="A84" t="str">
        <f>IF(COUNTIF(Sheet2!A:A,D84)&gt;0,"Ada","Tidak Ada")</f>
        <v>Ada</v>
      </c>
      <c r="C84">
        <f>IF(A84="Ada",IF(IFERROR(VLOOKUP(D84,Sheet2!A:D,2,FALSE),"")="",IFERROR(VLOOKUP(D84,Sheet2!A:D,3,FALSE),""),VLOOKUP(D84,Sheet2!A:D,2,FALSE)),"")</f>
        <v>2300199</v>
      </c>
      <c r="D84" s="2">
        <v>1571305199</v>
      </c>
      <c r="E84" t="s">
        <v>0</v>
      </c>
      <c r="F84" t="s">
        <v>170</v>
      </c>
      <c r="G84" t="s">
        <v>171</v>
      </c>
      <c r="H84" s="1">
        <v>46247</v>
      </c>
      <c r="I84" t="s">
        <v>3</v>
      </c>
      <c r="J84" t="s">
        <v>4</v>
      </c>
      <c r="K84" t="s">
        <v>5</v>
      </c>
      <c r="L84" t="s">
        <v>6</v>
      </c>
      <c r="M84" t="s">
        <v>7</v>
      </c>
    </row>
    <row r="85" spans="1:13" x14ac:dyDescent="0.3">
      <c r="A85" t="str">
        <f>IF(COUNTIF(Sheet2!A:A,D85)&gt;0,"Ada","Tidak Ada")</f>
        <v>Tidak Ada</v>
      </c>
      <c r="C85" t="str">
        <f>IF(A85="Ada",IF(IFERROR(VLOOKUP(D85,Sheet2!A:D,2,FALSE),"")="",IFERROR(VLOOKUP(D85,Sheet2!A:D,3,FALSE),""),VLOOKUP(D85,Sheet2!A:D,2,FALSE)),"")</f>
        <v/>
      </c>
      <c r="D85" s="2">
        <v>1571305278</v>
      </c>
      <c r="E85" t="s">
        <v>0</v>
      </c>
      <c r="F85" t="s">
        <v>172</v>
      </c>
      <c r="G85" t="s">
        <v>173</v>
      </c>
      <c r="H85" s="1">
        <v>46247</v>
      </c>
      <c r="I85" t="s">
        <v>3</v>
      </c>
      <c r="J85" t="s">
        <v>4</v>
      </c>
      <c r="K85" t="s">
        <v>5</v>
      </c>
      <c r="L85" t="s">
        <v>6</v>
      </c>
      <c r="M85" t="s">
        <v>7</v>
      </c>
    </row>
    <row r="86" spans="1:13" x14ac:dyDescent="0.3">
      <c r="A86" t="str">
        <f>IF(COUNTIF(Sheet2!A:A,D86)&gt;0,"Ada","Tidak Ada")</f>
        <v>Ada</v>
      </c>
      <c r="C86">
        <f>IF(A86="Ada",IF(IFERROR(VLOOKUP(D86,Sheet2!A:D,2,FALSE),"")="",IFERROR(VLOOKUP(D86,Sheet2!A:D,3,FALSE),""),VLOOKUP(D86,Sheet2!A:D,2,FALSE)),"")</f>
        <v>0</v>
      </c>
      <c r="D86" s="2">
        <v>1571305279</v>
      </c>
      <c r="E86" t="s">
        <v>0</v>
      </c>
      <c r="F86" t="s">
        <v>174</v>
      </c>
      <c r="G86" t="s">
        <v>175</v>
      </c>
      <c r="H86" s="1">
        <v>46247</v>
      </c>
      <c r="I86" t="s">
        <v>3</v>
      </c>
      <c r="J86" t="s">
        <v>4</v>
      </c>
      <c r="K86" t="s">
        <v>5</v>
      </c>
      <c r="L86" t="s">
        <v>6</v>
      </c>
      <c r="M86" t="s">
        <v>7</v>
      </c>
    </row>
    <row r="87" spans="1:13" x14ac:dyDescent="0.3">
      <c r="A87" t="str">
        <f>IF(COUNTIF(Sheet2!A:A,D87)&gt;0,"Ada","Tidak Ada")</f>
        <v>Ada</v>
      </c>
      <c r="C87">
        <f>IF(A87="Ada",IF(IFERROR(VLOOKUP(D87,Sheet2!A:D,2,FALSE),"")="",IFERROR(VLOOKUP(D87,Sheet2!A:D,3,FALSE),""),VLOOKUP(D87,Sheet2!A:D,2,FALSE)),"")</f>
        <v>2300316</v>
      </c>
      <c r="D87" s="2">
        <v>1571305316</v>
      </c>
      <c r="E87" t="s">
        <v>0</v>
      </c>
      <c r="F87" t="s">
        <v>176</v>
      </c>
      <c r="G87" t="s">
        <v>177</v>
      </c>
      <c r="H87" s="1">
        <v>46247</v>
      </c>
      <c r="I87" t="s">
        <v>3</v>
      </c>
      <c r="J87" t="s">
        <v>4</v>
      </c>
      <c r="K87" t="s">
        <v>5</v>
      </c>
      <c r="L87" t="s">
        <v>6</v>
      </c>
      <c r="M87" t="s">
        <v>7</v>
      </c>
    </row>
    <row r="88" spans="1:13" x14ac:dyDescent="0.3">
      <c r="A88" t="str">
        <f>IF(COUNTIF(Sheet2!A:A,D88)&gt;0,"Ada","Tidak Ada")</f>
        <v>Ada</v>
      </c>
      <c r="C88">
        <f>IF(A88="Ada",IF(IFERROR(VLOOKUP(D88,Sheet2!A:D,2,FALSE),"")="",IFERROR(VLOOKUP(D88,Sheet2!A:D,3,FALSE),""),VLOOKUP(D88,Sheet2!A:D,2,FALSE)),"")</f>
        <v>2300337</v>
      </c>
      <c r="D88" s="2">
        <v>1571305337</v>
      </c>
      <c r="E88" t="s">
        <v>0</v>
      </c>
      <c r="F88" t="s">
        <v>178</v>
      </c>
      <c r="G88" t="s">
        <v>179</v>
      </c>
      <c r="H88" s="1">
        <v>46247</v>
      </c>
      <c r="I88" t="s">
        <v>3</v>
      </c>
      <c r="J88" t="s">
        <v>4</v>
      </c>
      <c r="K88" t="s">
        <v>5</v>
      </c>
      <c r="L88" t="s">
        <v>6</v>
      </c>
      <c r="M88" t="s">
        <v>7</v>
      </c>
    </row>
    <row r="89" spans="1:13" x14ac:dyDescent="0.3">
      <c r="A89" t="str">
        <f>IF(COUNTIF(Sheet2!A:A,D89)&gt;0,"Ada","Tidak Ada")</f>
        <v>Ada</v>
      </c>
      <c r="C89">
        <f>IF(A89="Ada",IF(IFERROR(VLOOKUP(D89,Sheet2!A:D,2,FALSE),"")="",IFERROR(VLOOKUP(D89,Sheet2!A:D,3,FALSE),""),VLOOKUP(D89,Sheet2!A:D,2,FALSE)),"")</f>
        <v>0</v>
      </c>
      <c r="D89" s="2">
        <v>1571305354</v>
      </c>
      <c r="E89" t="s">
        <v>0</v>
      </c>
      <c r="F89" t="s">
        <v>180</v>
      </c>
      <c r="G89" t="s">
        <v>181</v>
      </c>
      <c r="H89" s="1">
        <v>46247</v>
      </c>
      <c r="I89" t="s">
        <v>3</v>
      </c>
      <c r="J89" t="s">
        <v>4</v>
      </c>
      <c r="K89" t="s">
        <v>5</v>
      </c>
      <c r="L89" t="s">
        <v>6</v>
      </c>
      <c r="M89" t="s">
        <v>7</v>
      </c>
    </row>
    <row r="90" spans="1:13" x14ac:dyDescent="0.3">
      <c r="A90" t="str">
        <f>IF(COUNTIF(Sheet2!A:A,D90)&gt;0,"Ada","Tidak Ada")</f>
        <v>Ada</v>
      </c>
      <c r="C90">
        <f>IF(A90="Ada",IF(IFERROR(VLOOKUP(D90,Sheet2!A:D,2,FALSE),"")="",IFERROR(VLOOKUP(D90,Sheet2!A:D,3,FALSE),""),VLOOKUP(D90,Sheet2!A:D,2,FALSE)),"")</f>
        <v>2500360</v>
      </c>
      <c r="D90" s="2">
        <v>1571305360</v>
      </c>
      <c r="E90" t="s">
        <v>0</v>
      </c>
      <c r="F90" t="s">
        <v>182</v>
      </c>
      <c r="G90" t="s">
        <v>183</v>
      </c>
      <c r="H90" s="1">
        <v>46247</v>
      </c>
      <c r="I90" t="s">
        <v>3</v>
      </c>
      <c r="J90" t="s">
        <v>4</v>
      </c>
      <c r="K90" t="s">
        <v>5</v>
      </c>
      <c r="L90" t="s">
        <v>6</v>
      </c>
      <c r="M90" t="s">
        <v>7</v>
      </c>
    </row>
    <row r="91" spans="1:13" x14ac:dyDescent="0.3">
      <c r="A91" t="str">
        <f>IF(COUNTIF(Sheet2!A:A,D91)&gt;0,"Ada","Tidak Ada")</f>
        <v>Tidak Ada</v>
      </c>
      <c r="C91" t="str">
        <f>IF(A91="Ada",IF(IFERROR(VLOOKUP(D91,Sheet2!A:D,2,FALSE),"")="",IFERROR(VLOOKUP(D91,Sheet2!A:D,3,FALSE),""),VLOOKUP(D91,Sheet2!A:D,2,FALSE)),"")</f>
        <v/>
      </c>
      <c r="D91" s="2">
        <v>1571305396</v>
      </c>
      <c r="E91" t="s">
        <v>0</v>
      </c>
      <c r="F91" t="s">
        <v>184</v>
      </c>
      <c r="G91" t="s">
        <v>185</v>
      </c>
      <c r="H91" s="1">
        <v>46247</v>
      </c>
      <c r="I91" t="s">
        <v>3</v>
      </c>
      <c r="J91" t="s">
        <v>4</v>
      </c>
      <c r="K91" t="s">
        <v>5</v>
      </c>
      <c r="L91" t="s">
        <v>6</v>
      </c>
      <c r="M91" t="s">
        <v>7</v>
      </c>
    </row>
    <row r="92" spans="1:13" x14ac:dyDescent="0.3">
      <c r="A92" t="str">
        <f>IF(COUNTIF(Sheet2!A:A,D92)&gt;0,"Ada","Tidak Ada")</f>
        <v>Tidak Ada</v>
      </c>
      <c r="C92" t="str">
        <f>IF(A92="Ada",IF(IFERROR(VLOOKUP(D92,Sheet2!A:D,2,FALSE),"")="",IFERROR(VLOOKUP(D92,Sheet2!A:D,3,FALSE),""),VLOOKUP(D92,Sheet2!A:D,2,FALSE)),"")</f>
        <v/>
      </c>
      <c r="D92" s="2">
        <v>1571305460</v>
      </c>
      <c r="E92" t="s">
        <v>0</v>
      </c>
      <c r="F92" t="s">
        <v>186</v>
      </c>
      <c r="G92" t="s">
        <v>187</v>
      </c>
      <c r="H92" s="1">
        <v>46247</v>
      </c>
      <c r="I92" t="s">
        <v>3</v>
      </c>
      <c r="J92" t="s">
        <v>4</v>
      </c>
      <c r="K92" t="s">
        <v>5</v>
      </c>
      <c r="L92" t="s">
        <v>6</v>
      </c>
      <c r="M92" t="s">
        <v>7</v>
      </c>
    </row>
    <row r="93" spans="1:13" x14ac:dyDescent="0.3">
      <c r="A93" t="str">
        <f>IF(COUNTIF(Sheet2!A:A,D93)&gt;0,"Ada","Tidak Ada")</f>
        <v>Ada</v>
      </c>
      <c r="C93">
        <f>IF(A93="Ada",IF(IFERROR(VLOOKUP(D93,Sheet2!A:D,2,FALSE),"")="",IFERROR(VLOOKUP(D93,Sheet2!A:D,3,FALSE),""),VLOOKUP(D93,Sheet2!A:D,2,FALSE)),"")</f>
        <v>2100741</v>
      </c>
      <c r="D93" s="2">
        <v>1571305741</v>
      </c>
      <c r="E93" t="s">
        <v>0</v>
      </c>
      <c r="F93" t="s">
        <v>188</v>
      </c>
      <c r="G93" t="s">
        <v>189</v>
      </c>
      <c r="H93" s="1">
        <v>46247</v>
      </c>
      <c r="I93" t="s">
        <v>3</v>
      </c>
      <c r="J93" t="s">
        <v>4</v>
      </c>
      <c r="K93" t="s">
        <v>5</v>
      </c>
      <c r="L93" t="s">
        <v>6</v>
      </c>
      <c r="M93" t="s">
        <v>7</v>
      </c>
    </row>
    <row r="94" spans="1:13" x14ac:dyDescent="0.3">
      <c r="A94" t="str">
        <f>IF(COUNTIF(Sheet2!A:A,D94)&gt;0,"Ada","Tidak Ada")</f>
        <v>Tidak Ada</v>
      </c>
      <c r="C94" t="str">
        <f>IF(A94="Ada",IF(IFERROR(VLOOKUP(D94,Sheet2!A:D,2,FALSE),"")="",IFERROR(VLOOKUP(D94,Sheet2!A:D,3,FALSE),""),VLOOKUP(D94,Sheet2!A:D,2,FALSE)),"")</f>
        <v/>
      </c>
      <c r="D94" s="2">
        <v>1571305865</v>
      </c>
      <c r="E94" t="s">
        <v>0</v>
      </c>
      <c r="F94" t="s">
        <v>190</v>
      </c>
      <c r="G94" t="s">
        <v>191</v>
      </c>
      <c r="H94" s="1">
        <v>46247</v>
      </c>
      <c r="I94" t="s">
        <v>3</v>
      </c>
      <c r="J94" t="s">
        <v>4</v>
      </c>
      <c r="K94" t="s">
        <v>5</v>
      </c>
      <c r="L94" t="s">
        <v>6</v>
      </c>
      <c r="M94" t="s">
        <v>7</v>
      </c>
    </row>
    <row r="95" spans="1:13" x14ac:dyDescent="0.3">
      <c r="A95" t="str">
        <f>IF(COUNTIF(Sheet2!A:A,D95)&gt;0,"Ada","Tidak Ada")</f>
        <v>Tidak Ada</v>
      </c>
      <c r="C95" t="str">
        <f>IF(A95="Ada",IF(IFERROR(VLOOKUP(D95,Sheet2!A:D,2,FALSE),"")="",IFERROR(VLOOKUP(D95,Sheet2!A:D,3,FALSE),""),VLOOKUP(D95,Sheet2!A:D,2,FALSE)),"")</f>
        <v/>
      </c>
      <c r="D95" s="2">
        <v>1571305916</v>
      </c>
      <c r="E95" t="s">
        <v>0</v>
      </c>
      <c r="F95" t="s">
        <v>192</v>
      </c>
      <c r="G95" t="s">
        <v>193</v>
      </c>
      <c r="H95" s="1">
        <v>46247</v>
      </c>
      <c r="I95" t="s">
        <v>3</v>
      </c>
      <c r="J95" t="s">
        <v>4</v>
      </c>
      <c r="K95" t="s">
        <v>5</v>
      </c>
      <c r="L95" t="s">
        <v>6</v>
      </c>
      <c r="M95" t="s">
        <v>7</v>
      </c>
    </row>
    <row r="96" spans="1:13" x14ac:dyDescent="0.3">
      <c r="A96" t="str">
        <f>IF(COUNTIF(Sheet2!A:A,D96)&gt;0,"Ada","Tidak Ada")</f>
        <v>Tidak Ada</v>
      </c>
      <c r="C96" t="str">
        <f>IF(A96="Ada",IF(IFERROR(VLOOKUP(D96,Sheet2!A:D,2,FALSE),"")="",IFERROR(VLOOKUP(D96,Sheet2!A:D,3,FALSE),""),VLOOKUP(D96,Sheet2!A:D,2,FALSE)),"")</f>
        <v/>
      </c>
      <c r="D96" s="2">
        <v>1571305984</v>
      </c>
      <c r="E96" t="s">
        <v>0</v>
      </c>
      <c r="F96" t="s">
        <v>194</v>
      </c>
      <c r="G96" t="s">
        <v>195</v>
      </c>
      <c r="H96" s="1">
        <v>46247</v>
      </c>
      <c r="I96" t="s">
        <v>3</v>
      </c>
      <c r="J96" t="s">
        <v>4</v>
      </c>
      <c r="K96" t="s">
        <v>5</v>
      </c>
      <c r="L96" t="s">
        <v>6</v>
      </c>
      <c r="M96" t="s">
        <v>7</v>
      </c>
    </row>
    <row r="97" spans="1:13" x14ac:dyDescent="0.3">
      <c r="A97" t="str">
        <f>IF(COUNTIF(Sheet2!A:A,D97)&gt;0,"Ada","Tidak Ada")</f>
        <v>Ada</v>
      </c>
      <c r="C97">
        <f>IF(A97="Ada",IF(IFERROR(VLOOKUP(D97,Sheet2!A:D,2,FALSE),"")="",IFERROR(VLOOKUP(D97,Sheet2!A:D,3,FALSE),""),VLOOKUP(D97,Sheet2!A:D,2,FALSE)),"")</f>
        <v>2100241</v>
      </c>
      <c r="D97" s="2">
        <v>1571306241</v>
      </c>
      <c r="E97" t="s">
        <v>0</v>
      </c>
      <c r="F97" t="s">
        <v>196</v>
      </c>
      <c r="G97" t="s">
        <v>197</v>
      </c>
      <c r="H97" s="1">
        <v>46247</v>
      </c>
      <c r="I97" t="s">
        <v>3</v>
      </c>
      <c r="J97" t="s">
        <v>4</v>
      </c>
      <c r="K97" t="s">
        <v>5</v>
      </c>
      <c r="L97" t="s">
        <v>6</v>
      </c>
      <c r="M97" t="s">
        <v>7</v>
      </c>
    </row>
    <row r="98" spans="1:13" x14ac:dyDescent="0.3">
      <c r="A98" t="str">
        <f>IF(COUNTIF(Sheet2!A:A,D98)&gt;0,"Ada","Tidak Ada")</f>
        <v>Ada</v>
      </c>
      <c r="C98">
        <f>IF(A98="Ada",IF(IFERROR(VLOOKUP(D98,Sheet2!A:D,2,FALSE),"")="",IFERROR(VLOOKUP(D98,Sheet2!A:D,3,FALSE),""),VLOOKUP(D98,Sheet2!A:D,2,FALSE)),"")</f>
        <v>2100264</v>
      </c>
      <c r="D98" s="2">
        <v>1571306264</v>
      </c>
      <c r="E98" t="s">
        <v>0</v>
      </c>
      <c r="F98" t="s">
        <v>198</v>
      </c>
      <c r="G98" t="s">
        <v>199</v>
      </c>
      <c r="H98" s="1">
        <v>46247</v>
      </c>
      <c r="I98" t="s">
        <v>3</v>
      </c>
      <c r="J98" t="s">
        <v>4</v>
      </c>
      <c r="K98" t="s">
        <v>5</v>
      </c>
      <c r="L98" t="s">
        <v>6</v>
      </c>
      <c r="M98" t="s">
        <v>7</v>
      </c>
    </row>
    <row r="99" spans="1:13" x14ac:dyDescent="0.3">
      <c r="A99" t="str">
        <f>IF(COUNTIF(Sheet2!A:A,D99)&gt;0,"Ada","Tidak Ada")</f>
        <v>Tidak Ada</v>
      </c>
      <c r="C99" t="str">
        <f>IF(A99="Ada",IF(IFERROR(VLOOKUP(D99,Sheet2!A:D,2,FALSE),"")="",IFERROR(VLOOKUP(D99,Sheet2!A:D,3,FALSE),""),VLOOKUP(D99,Sheet2!A:D,2,FALSE)),"")</f>
        <v/>
      </c>
      <c r="D99" s="2">
        <v>1571306277</v>
      </c>
      <c r="E99" t="s">
        <v>0</v>
      </c>
      <c r="F99" t="s">
        <v>200</v>
      </c>
      <c r="G99" t="s">
        <v>201</v>
      </c>
      <c r="H99" s="1">
        <v>46247</v>
      </c>
      <c r="I99" t="s">
        <v>3</v>
      </c>
      <c r="J99" t="s">
        <v>4</v>
      </c>
      <c r="K99" t="s">
        <v>5</v>
      </c>
      <c r="L99" t="s">
        <v>6</v>
      </c>
      <c r="M99" t="s">
        <v>7</v>
      </c>
    </row>
    <row r="100" spans="1:13" x14ac:dyDescent="0.3">
      <c r="A100" t="str">
        <f>IF(COUNTIF(Sheet2!A:A,D100)&gt;0,"Ada","Tidak Ada")</f>
        <v>Tidak Ada</v>
      </c>
      <c r="C100" t="str">
        <f>IF(A100="Ada",IF(IFERROR(VLOOKUP(D100,Sheet2!A:D,2,FALSE),"")="",IFERROR(VLOOKUP(D100,Sheet2!A:D,3,FALSE),""),VLOOKUP(D100,Sheet2!A:D,2,FALSE)),"")</f>
        <v/>
      </c>
      <c r="D100" s="2">
        <v>1571306279</v>
      </c>
      <c r="E100" t="s">
        <v>0</v>
      </c>
      <c r="F100" t="s">
        <v>144</v>
      </c>
      <c r="G100" t="s">
        <v>145</v>
      </c>
      <c r="H100" s="1">
        <v>46247</v>
      </c>
      <c r="I100" t="s">
        <v>3</v>
      </c>
      <c r="J100" t="s">
        <v>4</v>
      </c>
      <c r="K100" t="s">
        <v>5</v>
      </c>
      <c r="L100" t="s">
        <v>6</v>
      </c>
      <c r="M100" t="s">
        <v>7</v>
      </c>
    </row>
    <row r="101" spans="1:13" x14ac:dyDescent="0.3">
      <c r="A101" t="str">
        <f>IF(COUNTIF(Sheet2!A:A,D101)&gt;0,"Ada","Tidak Ada")</f>
        <v>Tidak Ada</v>
      </c>
      <c r="C101" t="str">
        <f>IF(A101="Ada",IF(IFERROR(VLOOKUP(D101,Sheet2!A:D,2,FALSE),"")="",IFERROR(VLOOKUP(D101,Sheet2!A:D,3,FALSE),""),VLOOKUP(D101,Sheet2!A:D,2,FALSE)),"")</f>
        <v/>
      </c>
      <c r="D101" s="2">
        <v>1571306608</v>
      </c>
      <c r="E101" t="s">
        <v>0</v>
      </c>
      <c r="F101" t="s">
        <v>202</v>
      </c>
      <c r="G101" t="s">
        <v>203</v>
      </c>
      <c r="H101" s="1">
        <v>46247</v>
      </c>
      <c r="I101" t="s">
        <v>3</v>
      </c>
      <c r="J101" t="s">
        <v>4</v>
      </c>
      <c r="K101" t="s">
        <v>5</v>
      </c>
      <c r="L101" t="s">
        <v>6</v>
      </c>
      <c r="M101" t="s">
        <v>7</v>
      </c>
    </row>
    <row r="102" spans="1:13" x14ac:dyDescent="0.3">
      <c r="A102" t="str">
        <f>IF(COUNTIF(Sheet2!A:A,D102)&gt;0,"Ada","Tidak Ada")</f>
        <v>Tidak Ada</v>
      </c>
      <c r="C102" t="str">
        <f>IF(A102="Ada",IF(IFERROR(VLOOKUP(D102,Sheet2!A:D,2,FALSE),"")="",IFERROR(VLOOKUP(D102,Sheet2!A:D,3,FALSE),""),VLOOKUP(D102,Sheet2!A:D,2,FALSE)),"")</f>
        <v/>
      </c>
      <c r="D102" s="2">
        <v>1571306612</v>
      </c>
      <c r="E102" t="s">
        <v>0</v>
      </c>
      <c r="F102" t="s">
        <v>204</v>
      </c>
      <c r="G102" t="s">
        <v>205</v>
      </c>
      <c r="H102" s="1">
        <v>46247</v>
      </c>
      <c r="I102" t="s">
        <v>3</v>
      </c>
      <c r="J102" t="s">
        <v>4</v>
      </c>
      <c r="K102" t="s">
        <v>5</v>
      </c>
      <c r="L102" t="s">
        <v>6</v>
      </c>
      <c r="M102" t="s">
        <v>7</v>
      </c>
    </row>
    <row r="103" spans="1:13" x14ac:dyDescent="0.3">
      <c r="A103" t="str">
        <f>IF(COUNTIF(Sheet2!A:A,D103)&gt;0,"Ada","Tidak Ada")</f>
        <v>Tidak Ada</v>
      </c>
      <c r="C103" t="str">
        <f>IF(A103="Ada",IF(IFERROR(VLOOKUP(D103,Sheet2!A:D,2,FALSE),"")="",IFERROR(VLOOKUP(D103,Sheet2!A:D,3,FALSE),""),VLOOKUP(D103,Sheet2!A:D,2,FALSE)),"")</f>
        <v/>
      </c>
      <c r="D103" s="2">
        <v>1571306624</v>
      </c>
      <c r="E103" t="s">
        <v>0</v>
      </c>
      <c r="F103" t="s">
        <v>206</v>
      </c>
      <c r="G103" t="s">
        <v>207</v>
      </c>
      <c r="H103" s="1">
        <v>46247</v>
      </c>
      <c r="I103" t="s">
        <v>3</v>
      </c>
      <c r="J103" t="s">
        <v>4</v>
      </c>
      <c r="K103" t="s">
        <v>5</v>
      </c>
      <c r="L103" t="s">
        <v>6</v>
      </c>
      <c r="M103" t="s">
        <v>7</v>
      </c>
    </row>
    <row r="104" spans="1:13" x14ac:dyDescent="0.3">
      <c r="A104" t="str">
        <f>IF(COUNTIF(Sheet2!A:A,D104)&gt;0,"Ada","Tidak Ada")</f>
        <v>Tidak Ada</v>
      </c>
      <c r="C104" t="str">
        <f>IF(A104="Ada",IF(IFERROR(VLOOKUP(D104,Sheet2!A:D,2,FALSE),"")="",IFERROR(VLOOKUP(D104,Sheet2!A:D,3,FALSE),""),VLOOKUP(D104,Sheet2!A:D,2,FALSE)),"")</f>
        <v/>
      </c>
      <c r="D104" s="2">
        <v>1571307032</v>
      </c>
      <c r="E104" t="s">
        <v>0</v>
      </c>
      <c r="F104" t="s">
        <v>208</v>
      </c>
      <c r="G104" t="s">
        <v>209</v>
      </c>
      <c r="H104" s="1">
        <v>46247</v>
      </c>
      <c r="I104" t="s">
        <v>3</v>
      </c>
      <c r="J104" t="s">
        <v>4</v>
      </c>
      <c r="K104" t="s">
        <v>5</v>
      </c>
      <c r="L104" t="s">
        <v>6</v>
      </c>
      <c r="M104" t="s">
        <v>7</v>
      </c>
    </row>
    <row r="105" spans="1:13" x14ac:dyDescent="0.3">
      <c r="A105" t="str">
        <f>IF(COUNTIF(Sheet2!A:A,D105)&gt;0,"Ada","Tidak Ada")</f>
        <v>Ada</v>
      </c>
      <c r="C105">
        <f>IF(A105="Ada",IF(IFERROR(VLOOKUP(D105,Sheet2!A:D,2,FALSE),"")="",IFERROR(VLOOKUP(D105,Sheet2!A:D,3,FALSE),""),VLOOKUP(D105,Sheet2!A:D,2,FALSE)),"")</f>
        <v>0</v>
      </c>
      <c r="D105" s="2">
        <v>1571307035</v>
      </c>
      <c r="E105" t="s">
        <v>0</v>
      </c>
      <c r="F105" t="s">
        <v>210</v>
      </c>
      <c r="G105" t="s">
        <v>211</v>
      </c>
      <c r="H105" s="1">
        <v>46247</v>
      </c>
      <c r="I105" t="s">
        <v>3</v>
      </c>
      <c r="J105" t="s">
        <v>4</v>
      </c>
      <c r="K105" t="s">
        <v>5</v>
      </c>
      <c r="L105" t="s">
        <v>6</v>
      </c>
      <c r="M105" t="s">
        <v>7</v>
      </c>
    </row>
    <row r="106" spans="1:13" x14ac:dyDescent="0.3">
      <c r="A106" t="str">
        <f>IF(COUNTIF(Sheet2!A:A,D106)&gt;0,"Ada","Tidak Ada")</f>
        <v>Ada</v>
      </c>
      <c r="C106">
        <f>IF(A106="Ada",IF(IFERROR(VLOOKUP(D106,Sheet2!A:D,2,FALSE),"")="",IFERROR(VLOOKUP(D106,Sheet2!A:D,3,FALSE),""),VLOOKUP(D106,Sheet2!A:D,2,FALSE)),"")</f>
        <v>0</v>
      </c>
      <c r="D106" s="2">
        <v>1571307129</v>
      </c>
      <c r="E106" t="s">
        <v>0</v>
      </c>
      <c r="F106" t="s">
        <v>212</v>
      </c>
      <c r="G106" t="s">
        <v>213</v>
      </c>
      <c r="H106" s="1">
        <v>46247</v>
      </c>
      <c r="I106" t="s">
        <v>3</v>
      </c>
      <c r="J106" t="s">
        <v>4</v>
      </c>
      <c r="K106" t="s">
        <v>5</v>
      </c>
      <c r="L106" t="s">
        <v>6</v>
      </c>
      <c r="M106" t="s">
        <v>7</v>
      </c>
    </row>
    <row r="107" spans="1:13" x14ac:dyDescent="0.3">
      <c r="A107" t="str">
        <f>IF(COUNTIF(Sheet2!A:A,D107)&gt;0,"Ada","Tidak Ada")</f>
        <v>Ada</v>
      </c>
      <c r="C107">
        <f>IF(A107="Ada",IF(IFERROR(VLOOKUP(D107,Sheet2!A:D,2,FALSE),"")="",IFERROR(VLOOKUP(D107,Sheet2!A:D,3,FALSE),""),VLOOKUP(D107,Sheet2!A:D,2,FALSE)),"")</f>
        <v>3000383</v>
      </c>
      <c r="D107" s="2">
        <v>1571307383</v>
      </c>
      <c r="E107" t="s">
        <v>0</v>
      </c>
      <c r="F107" t="s">
        <v>214</v>
      </c>
      <c r="G107" t="s">
        <v>215</v>
      </c>
      <c r="H107" s="1">
        <v>46247</v>
      </c>
      <c r="I107" t="s">
        <v>3</v>
      </c>
      <c r="J107" t="s">
        <v>4</v>
      </c>
      <c r="K107" t="s">
        <v>5</v>
      </c>
      <c r="L107" t="s">
        <v>6</v>
      </c>
      <c r="M107" t="s">
        <v>7</v>
      </c>
    </row>
    <row r="108" spans="1:13" x14ac:dyDescent="0.3">
      <c r="A108" t="str">
        <f>IF(COUNTIF(Sheet2!A:A,D108)&gt;0,"Ada","Tidak Ada")</f>
        <v>Ada</v>
      </c>
      <c r="C108">
        <f>IF(A108="Ada",IF(IFERROR(VLOOKUP(D108,Sheet2!A:D,2,FALSE),"")="",IFERROR(VLOOKUP(D108,Sheet2!A:D,3,FALSE),""),VLOOKUP(D108,Sheet2!A:D,2,FALSE)),"")</f>
        <v>2300000</v>
      </c>
      <c r="D108" s="2">
        <v>1571307415</v>
      </c>
      <c r="E108" t="s">
        <v>0</v>
      </c>
      <c r="F108" t="s">
        <v>216</v>
      </c>
      <c r="G108" t="s">
        <v>217</v>
      </c>
      <c r="H108" s="1">
        <v>46247</v>
      </c>
      <c r="I108" t="s">
        <v>3</v>
      </c>
      <c r="J108" t="s">
        <v>4</v>
      </c>
      <c r="K108" t="s">
        <v>5</v>
      </c>
      <c r="L108" t="s">
        <v>6</v>
      </c>
      <c r="M108" t="s">
        <v>7</v>
      </c>
    </row>
    <row r="109" spans="1:13" x14ac:dyDescent="0.3">
      <c r="A109" t="str">
        <f>IF(COUNTIF(Sheet2!A:A,D109)&gt;0,"Ada","Tidak Ada")</f>
        <v>Ada</v>
      </c>
      <c r="C109">
        <f>IF(A109="Ada",IF(IFERROR(VLOOKUP(D109,Sheet2!A:D,2,FALSE),"")="",IFERROR(VLOOKUP(D109,Sheet2!A:D,3,FALSE),""),VLOOKUP(D109,Sheet2!A:D,2,FALSE)),"")</f>
        <v>2300433</v>
      </c>
      <c r="D109" s="2">
        <v>1571307433</v>
      </c>
      <c r="E109" t="s">
        <v>0</v>
      </c>
      <c r="F109" t="s">
        <v>218</v>
      </c>
      <c r="G109" t="s">
        <v>219</v>
      </c>
      <c r="H109" s="1">
        <v>46247</v>
      </c>
      <c r="I109" t="s">
        <v>3</v>
      </c>
      <c r="J109" t="s">
        <v>4</v>
      </c>
      <c r="K109" t="s">
        <v>5</v>
      </c>
      <c r="L109" t="s">
        <v>6</v>
      </c>
      <c r="M109" t="s">
        <v>7</v>
      </c>
    </row>
    <row r="110" spans="1:13" x14ac:dyDescent="0.3">
      <c r="A110" t="str">
        <f>IF(COUNTIF(Sheet2!A:A,D110)&gt;0,"Ada","Tidak Ada")</f>
        <v>Tidak Ada</v>
      </c>
      <c r="C110" t="str">
        <f>IF(A110="Ada",IF(IFERROR(VLOOKUP(D110,Sheet2!A:D,2,FALSE),"")="",IFERROR(VLOOKUP(D110,Sheet2!A:D,3,FALSE),""),VLOOKUP(D110,Sheet2!A:D,2,FALSE)),"")</f>
        <v/>
      </c>
      <c r="D110" s="2">
        <v>1571307467</v>
      </c>
      <c r="E110" t="s">
        <v>0</v>
      </c>
      <c r="F110" t="s">
        <v>220</v>
      </c>
      <c r="G110" t="s">
        <v>221</v>
      </c>
      <c r="H110" s="1">
        <v>46247</v>
      </c>
      <c r="I110" t="s">
        <v>3</v>
      </c>
      <c r="J110" t="s">
        <v>4</v>
      </c>
      <c r="K110" t="s">
        <v>5</v>
      </c>
      <c r="L110" t="s">
        <v>6</v>
      </c>
      <c r="M110" t="s">
        <v>7</v>
      </c>
    </row>
    <row r="111" spans="1:13" x14ac:dyDescent="0.3">
      <c r="A111" t="str">
        <f>IF(COUNTIF(Sheet2!A:A,D111)&gt;0,"Ada","Tidak Ada")</f>
        <v>Tidak Ada</v>
      </c>
      <c r="C111" t="str">
        <f>IF(A111="Ada",IF(IFERROR(VLOOKUP(D111,Sheet2!A:D,2,FALSE),"")="",IFERROR(VLOOKUP(D111,Sheet2!A:D,3,FALSE),""),VLOOKUP(D111,Sheet2!A:D,2,FALSE)),"")</f>
        <v/>
      </c>
      <c r="D111" s="2">
        <v>1571307511</v>
      </c>
      <c r="E111" t="s">
        <v>0</v>
      </c>
      <c r="F111" t="s">
        <v>222</v>
      </c>
      <c r="G111" t="s">
        <v>223</v>
      </c>
      <c r="H111" s="1">
        <v>46247</v>
      </c>
      <c r="I111" t="s">
        <v>3</v>
      </c>
      <c r="J111" t="s">
        <v>4</v>
      </c>
      <c r="K111" t="s">
        <v>5</v>
      </c>
      <c r="L111" t="s">
        <v>6</v>
      </c>
      <c r="M111" t="s">
        <v>7</v>
      </c>
    </row>
    <row r="112" spans="1:13" x14ac:dyDescent="0.3">
      <c r="A112" t="str">
        <f>IF(COUNTIF(Sheet2!A:A,D112)&gt;0,"Ada","Tidak Ada")</f>
        <v>Tidak Ada</v>
      </c>
      <c r="C112" t="str">
        <f>IF(A112="Ada",IF(IFERROR(VLOOKUP(D112,Sheet2!A:D,2,FALSE),"")="",IFERROR(VLOOKUP(D112,Sheet2!A:D,3,FALSE),""),VLOOKUP(D112,Sheet2!A:D,2,FALSE)),"")</f>
        <v/>
      </c>
      <c r="D112" s="2">
        <v>1571307533</v>
      </c>
      <c r="E112" t="s">
        <v>0</v>
      </c>
      <c r="F112" t="s">
        <v>224</v>
      </c>
      <c r="G112" t="s">
        <v>225</v>
      </c>
      <c r="H112" s="1">
        <v>46247</v>
      </c>
      <c r="I112" t="s">
        <v>3</v>
      </c>
      <c r="J112" t="s">
        <v>4</v>
      </c>
      <c r="K112" t="s">
        <v>5</v>
      </c>
      <c r="L112" t="s">
        <v>6</v>
      </c>
      <c r="M112" t="s">
        <v>7</v>
      </c>
    </row>
    <row r="113" spans="1:13" x14ac:dyDescent="0.3">
      <c r="A113" t="str">
        <f>IF(COUNTIF(Sheet2!A:A,D113)&gt;0,"Ada","Tidak Ada")</f>
        <v>Tidak Ada</v>
      </c>
      <c r="C113" t="str">
        <f>IF(A113="Ada",IF(IFERROR(VLOOKUP(D113,Sheet2!A:D,2,FALSE),"")="",IFERROR(VLOOKUP(D113,Sheet2!A:D,3,FALSE),""),VLOOKUP(D113,Sheet2!A:D,2,FALSE)),"")</f>
        <v/>
      </c>
      <c r="D113" s="2">
        <v>1571307597</v>
      </c>
      <c r="E113" t="s">
        <v>0</v>
      </c>
      <c r="F113" t="s">
        <v>226</v>
      </c>
      <c r="G113" t="s">
        <v>227</v>
      </c>
      <c r="H113" s="1">
        <v>46247</v>
      </c>
      <c r="I113" t="s">
        <v>3</v>
      </c>
      <c r="J113" t="s">
        <v>4</v>
      </c>
      <c r="K113" t="s">
        <v>5</v>
      </c>
      <c r="L113" t="s">
        <v>6</v>
      </c>
      <c r="M113" t="s">
        <v>7</v>
      </c>
    </row>
    <row r="114" spans="1:13" x14ac:dyDescent="0.3">
      <c r="A114" t="str">
        <f>IF(COUNTIF(Sheet2!A:A,D114)&gt;0,"Ada","Tidak Ada")</f>
        <v>Tidak Ada</v>
      </c>
      <c r="C114" t="str">
        <f>IF(A114="Ada",IF(IFERROR(VLOOKUP(D114,Sheet2!A:D,2,FALSE),"")="",IFERROR(VLOOKUP(D114,Sheet2!A:D,3,FALSE),""),VLOOKUP(D114,Sheet2!A:D,2,FALSE)),"")</f>
        <v/>
      </c>
      <c r="D114" s="2">
        <v>1571307615</v>
      </c>
      <c r="E114" t="s">
        <v>0</v>
      </c>
      <c r="F114" t="s">
        <v>228</v>
      </c>
      <c r="G114" t="s">
        <v>229</v>
      </c>
      <c r="H114" s="1">
        <v>46247</v>
      </c>
      <c r="I114" t="s">
        <v>3</v>
      </c>
      <c r="J114" t="s">
        <v>4</v>
      </c>
      <c r="K114" t="s">
        <v>5</v>
      </c>
      <c r="L114" t="s">
        <v>6</v>
      </c>
      <c r="M114" t="s">
        <v>7</v>
      </c>
    </row>
    <row r="115" spans="1:13" x14ac:dyDescent="0.3">
      <c r="A115" t="str">
        <f>IF(COUNTIF(Sheet2!A:A,D115)&gt;0,"Ada","Tidak Ada")</f>
        <v>Ada</v>
      </c>
      <c r="C115">
        <f>IF(A115="Ada",IF(IFERROR(VLOOKUP(D115,Sheet2!A:D,2,FALSE),"")="",IFERROR(VLOOKUP(D115,Sheet2!A:D,3,FALSE),""),VLOOKUP(D115,Sheet2!A:D,2,FALSE)),"")</f>
        <v>2500622</v>
      </c>
      <c r="D115" s="2">
        <v>1571307622</v>
      </c>
      <c r="E115" t="s">
        <v>0</v>
      </c>
      <c r="F115" t="s">
        <v>230</v>
      </c>
      <c r="G115" t="s">
        <v>231</v>
      </c>
      <c r="H115" s="1">
        <v>46247</v>
      </c>
      <c r="I115" t="s">
        <v>3</v>
      </c>
      <c r="J115" t="s">
        <v>4</v>
      </c>
      <c r="K115" t="s">
        <v>5</v>
      </c>
      <c r="L115" t="s">
        <v>6</v>
      </c>
      <c r="M115" t="s">
        <v>7</v>
      </c>
    </row>
    <row r="116" spans="1:13" x14ac:dyDescent="0.3">
      <c r="A116" t="str">
        <f>IF(COUNTIF(Sheet2!A:A,D116)&gt;0,"Ada","Tidak Ada")</f>
        <v>Tidak Ada</v>
      </c>
      <c r="C116" t="str">
        <f>IF(A116="Ada",IF(IFERROR(VLOOKUP(D116,Sheet2!A:D,2,FALSE),"")="",IFERROR(VLOOKUP(D116,Sheet2!A:D,3,FALSE),""),VLOOKUP(D116,Sheet2!A:D,2,FALSE)),"")</f>
        <v/>
      </c>
      <c r="D116" s="2">
        <v>1571307624</v>
      </c>
      <c r="E116" t="s">
        <v>0</v>
      </c>
      <c r="F116" t="s">
        <v>232</v>
      </c>
      <c r="G116" t="s">
        <v>233</v>
      </c>
      <c r="H116" s="1">
        <v>46247</v>
      </c>
      <c r="I116" t="s">
        <v>3</v>
      </c>
      <c r="J116" t="s">
        <v>4</v>
      </c>
      <c r="K116" t="s">
        <v>5</v>
      </c>
      <c r="L116" t="s">
        <v>6</v>
      </c>
      <c r="M116" t="s">
        <v>7</v>
      </c>
    </row>
    <row r="117" spans="1:13" x14ac:dyDescent="0.3">
      <c r="A117" t="str">
        <f>IF(COUNTIF(Sheet2!A:A,D117)&gt;0,"Ada","Tidak Ada")</f>
        <v>Tidak Ada</v>
      </c>
      <c r="C117" t="str">
        <f>IF(A117="Ada",IF(IFERROR(VLOOKUP(D117,Sheet2!A:D,2,FALSE),"")="",IFERROR(VLOOKUP(D117,Sheet2!A:D,3,FALSE),""),VLOOKUP(D117,Sheet2!A:D,2,FALSE)),"")</f>
        <v/>
      </c>
      <c r="D117" s="2">
        <v>1571307635</v>
      </c>
      <c r="E117" t="s">
        <v>0</v>
      </c>
      <c r="F117" t="s">
        <v>234</v>
      </c>
      <c r="G117" t="s">
        <v>235</v>
      </c>
      <c r="H117" s="1">
        <v>46247</v>
      </c>
      <c r="I117" t="s">
        <v>3</v>
      </c>
      <c r="J117" t="s">
        <v>4</v>
      </c>
      <c r="K117" t="s">
        <v>5</v>
      </c>
      <c r="L117" t="s">
        <v>6</v>
      </c>
      <c r="M117" t="s">
        <v>7</v>
      </c>
    </row>
    <row r="118" spans="1:13" x14ac:dyDescent="0.3">
      <c r="A118" t="str">
        <f>IF(COUNTIF(Sheet2!A:A,D118)&gt;0,"Ada","Tidak Ada")</f>
        <v>Tidak Ada</v>
      </c>
      <c r="C118" t="str">
        <f>IF(A118="Ada",IF(IFERROR(VLOOKUP(D118,Sheet2!A:D,2,FALSE),"")="",IFERROR(VLOOKUP(D118,Sheet2!A:D,3,FALSE),""),VLOOKUP(D118,Sheet2!A:D,2,FALSE)),"")</f>
        <v/>
      </c>
      <c r="D118" s="2">
        <v>1571307652</v>
      </c>
      <c r="E118" t="s">
        <v>0</v>
      </c>
      <c r="F118" t="s">
        <v>236</v>
      </c>
      <c r="G118" t="s">
        <v>237</v>
      </c>
      <c r="H118" s="1">
        <v>46247</v>
      </c>
      <c r="I118" t="s">
        <v>3</v>
      </c>
      <c r="J118" t="s">
        <v>4</v>
      </c>
      <c r="K118" t="s">
        <v>5</v>
      </c>
      <c r="L118" t="s">
        <v>6</v>
      </c>
      <c r="M118" t="s">
        <v>7</v>
      </c>
    </row>
    <row r="119" spans="1:13" x14ac:dyDescent="0.3">
      <c r="A119" t="str">
        <f>IF(COUNTIF(Sheet2!A:A,D119)&gt;0,"Ada","Tidak Ada")</f>
        <v>Tidak Ada</v>
      </c>
      <c r="C119" t="str">
        <f>IF(A119="Ada",IF(IFERROR(VLOOKUP(D119,Sheet2!A:D,2,FALSE),"")="",IFERROR(VLOOKUP(D119,Sheet2!A:D,3,FALSE),""),VLOOKUP(D119,Sheet2!A:D,2,FALSE)),"")</f>
        <v/>
      </c>
      <c r="D119" s="2">
        <v>1571307660</v>
      </c>
      <c r="E119" t="s">
        <v>0</v>
      </c>
      <c r="F119" t="s">
        <v>238</v>
      </c>
      <c r="G119" t="s">
        <v>239</v>
      </c>
      <c r="H119" s="1">
        <v>46247</v>
      </c>
      <c r="I119" t="s">
        <v>3</v>
      </c>
      <c r="J119" t="s">
        <v>4</v>
      </c>
      <c r="K119" t="s">
        <v>5</v>
      </c>
      <c r="L119" t="s">
        <v>6</v>
      </c>
      <c r="M119" t="s">
        <v>7</v>
      </c>
    </row>
    <row r="120" spans="1:13" x14ac:dyDescent="0.3">
      <c r="A120" t="str">
        <f>IF(COUNTIF(Sheet2!A:A,D120)&gt;0,"Ada","Tidak Ada")</f>
        <v>Ada</v>
      </c>
      <c r="C120">
        <f>IF(A120="Ada",IF(IFERROR(VLOOKUP(D120,Sheet2!A:D,2,FALSE),"")="",IFERROR(VLOOKUP(D120,Sheet2!A:D,3,FALSE),""),VLOOKUP(D120,Sheet2!A:D,2,FALSE)),"")</f>
        <v>2800671</v>
      </c>
      <c r="D120" s="2">
        <v>1571307671</v>
      </c>
      <c r="E120" t="s">
        <v>0</v>
      </c>
      <c r="F120" t="s">
        <v>240</v>
      </c>
      <c r="G120" t="s">
        <v>241</v>
      </c>
      <c r="H120" s="1">
        <v>46247</v>
      </c>
      <c r="I120" t="s">
        <v>3</v>
      </c>
      <c r="J120" t="s">
        <v>4</v>
      </c>
      <c r="K120" t="s">
        <v>5</v>
      </c>
      <c r="L120" t="s">
        <v>6</v>
      </c>
      <c r="M120" t="s">
        <v>7</v>
      </c>
    </row>
    <row r="121" spans="1:13" x14ac:dyDescent="0.3">
      <c r="A121" t="str">
        <f>IF(COUNTIF(Sheet2!A:A,D121)&gt;0,"Ada","Tidak Ada")</f>
        <v>Ada</v>
      </c>
      <c r="C121">
        <f>IF(A121="Ada",IF(IFERROR(VLOOKUP(D121,Sheet2!A:D,2,FALSE),"")="",IFERROR(VLOOKUP(D121,Sheet2!A:D,3,FALSE),""),VLOOKUP(D121,Sheet2!A:D,2,FALSE)),"")</f>
        <v>0</v>
      </c>
      <c r="D121" s="2">
        <v>1571307676</v>
      </c>
      <c r="E121" t="s">
        <v>0</v>
      </c>
      <c r="F121" t="s">
        <v>242</v>
      </c>
      <c r="G121" t="s">
        <v>243</v>
      </c>
      <c r="H121" s="1">
        <v>46247</v>
      </c>
      <c r="I121" t="s">
        <v>3</v>
      </c>
      <c r="J121" t="s">
        <v>4</v>
      </c>
      <c r="K121" t="s">
        <v>5</v>
      </c>
      <c r="L121" t="s">
        <v>6</v>
      </c>
      <c r="M121" t="s">
        <v>7</v>
      </c>
    </row>
    <row r="122" spans="1:13" x14ac:dyDescent="0.3">
      <c r="A122" t="str">
        <f>IF(COUNTIF(Sheet2!A:A,D122)&gt;0,"Ada","Tidak Ada")</f>
        <v>Tidak Ada</v>
      </c>
      <c r="C122" t="str">
        <f>IF(A122="Ada",IF(IFERROR(VLOOKUP(D122,Sheet2!A:D,2,FALSE),"")="",IFERROR(VLOOKUP(D122,Sheet2!A:D,3,FALSE),""),VLOOKUP(D122,Sheet2!A:D,2,FALSE)),"")</f>
        <v/>
      </c>
      <c r="D122" s="2">
        <v>1571307682</v>
      </c>
      <c r="E122" t="s">
        <v>0</v>
      </c>
      <c r="F122" t="s">
        <v>244</v>
      </c>
      <c r="G122" t="s">
        <v>245</v>
      </c>
      <c r="H122" s="1">
        <v>46247</v>
      </c>
      <c r="I122" t="s">
        <v>3</v>
      </c>
      <c r="J122" t="s">
        <v>4</v>
      </c>
      <c r="K122" t="s">
        <v>5</v>
      </c>
      <c r="L122" t="s">
        <v>6</v>
      </c>
      <c r="M122" t="s">
        <v>7</v>
      </c>
    </row>
    <row r="123" spans="1:13" x14ac:dyDescent="0.3">
      <c r="A123" t="str">
        <f>IF(COUNTIF(Sheet2!A:A,D123)&gt;0,"Ada","Tidak Ada")</f>
        <v>Tidak Ada</v>
      </c>
      <c r="C123" t="str">
        <f>IF(A123="Ada",IF(IFERROR(VLOOKUP(D123,Sheet2!A:D,2,FALSE),"")="",IFERROR(VLOOKUP(D123,Sheet2!A:D,3,FALSE),""),VLOOKUP(D123,Sheet2!A:D,2,FALSE)),"")</f>
        <v/>
      </c>
      <c r="D123" s="2">
        <v>1571307703</v>
      </c>
      <c r="E123" t="s">
        <v>0</v>
      </c>
      <c r="F123" t="s">
        <v>246</v>
      </c>
      <c r="G123" t="s">
        <v>247</v>
      </c>
      <c r="H123" s="1">
        <v>46247</v>
      </c>
      <c r="I123" t="s">
        <v>3</v>
      </c>
      <c r="J123" t="s">
        <v>4</v>
      </c>
      <c r="K123" t="s">
        <v>5</v>
      </c>
      <c r="L123" t="s">
        <v>6</v>
      </c>
      <c r="M123" t="s">
        <v>7</v>
      </c>
    </row>
    <row r="124" spans="1:13" x14ac:dyDescent="0.3">
      <c r="A124" t="str">
        <f>IF(COUNTIF(Sheet2!A:A,D124)&gt;0,"Ada","Tidak Ada")</f>
        <v>Ada</v>
      </c>
      <c r="C124">
        <f>IF(A124="Ada",IF(IFERROR(VLOOKUP(D124,Sheet2!A:D,2,FALSE),"")="",IFERROR(VLOOKUP(D124,Sheet2!A:D,3,FALSE),""),VLOOKUP(D124,Sheet2!A:D,2,FALSE)),"")</f>
        <v>0</v>
      </c>
      <c r="D124" s="2">
        <v>1571308724</v>
      </c>
      <c r="E124" t="s">
        <v>0</v>
      </c>
      <c r="F124" t="s">
        <v>248</v>
      </c>
      <c r="G124" t="s">
        <v>249</v>
      </c>
      <c r="H124" s="1">
        <v>46247</v>
      </c>
      <c r="I124" t="s">
        <v>3</v>
      </c>
      <c r="J124" t="s">
        <v>4</v>
      </c>
      <c r="K124" t="s">
        <v>5</v>
      </c>
      <c r="L124" t="s">
        <v>6</v>
      </c>
      <c r="M124" t="s">
        <v>7</v>
      </c>
    </row>
    <row r="125" spans="1:13" x14ac:dyDescent="0.3">
      <c r="A125" t="str">
        <f>IF(COUNTIF(Sheet2!A:A,D125)&gt;0,"Ada","Tidak Ada")</f>
        <v>Ada</v>
      </c>
      <c r="C125">
        <f>IF(A125="Ada",IF(IFERROR(VLOOKUP(D125,Sheet2!A:D,2,FALSE),"")="",IFERROR(VLOOKUP(D125,Sheet2!A:D,3,FALSE),""),VLOOKUP(D125,Sheet2!A:D,2,FALSE)),"")</f>
        <v>2800000</v>
      </c>
      <c r="D125" s="2">
        <v>1571308850</v>
      </c>
      <c r="E125" t="s">
        <v>0</v>
      </c>
      <c r="F125" t="s">
        <v>250</v>
      </c>
      <c r="G125" t="s">
        <v>251</v>
      </c>
      <c r="H125" s="1">
        <v>46247</v>
      </c>
      <c r="I125" t="s">
        <v>3</v>
      </c>
      <c r="J125" t="s">
        <v>4</v>
      </c>
      <c r="K125" t="s">
        <v>5</v>
      </c>
      <c r="L125" t="s">
        <v>6</v>
      </c>
      <c r="M125" t="s">
        <v>7</v>
      </c>
    </row>
    <row r="126" spans="1:13" x14ac:dyDescent="0.3">
      <c r="A126" t="str">
        <f>IF(COUNTIF(Sheet2!A:A,D126)&gt;0,"Ada","Tidak Ada")</f>
        <v>Ada</v>
      </c>
      <c r="C126">
        <f>IF(A126="Ada",IF(IFERROR(VLOOKUP(D126,Sheet2!A:D,2,FALSE),"")="",IFERROR(VLOOKUP(D126,Sheet2!A:D,3,FALSE),""),VLOOKUP(D126,Sheet2!A:D,2,FALSE)),"")</f>
        <v>0</v>
      </c>
      <c r="D126" s="2">
        <v>1571309340</v>
      </c>
      <c r="E126" t="s">
        <v>0</v>
      </c>
      <c r="F126" t="s">
        <v>252</v>
      </c>
      <c r="G126" t="s">
        <v>253</v>
      </c>
      <c r="H126" s="1">
        <v>46247</v>
      </c>
      <c r="I126" t="s">
        <v>3</v>
      </c>
      <c r="J126" t="s">
        <v>4</v>
      </c>
      <c r="K126" t="s">
        <v>5</v>
      </c>
      <c r="L126" t="s">
        <v>6</v>
      </c>
      <c r="M126" t="s">
        <v>7</v>
      </c>
    </row>
    <row r="127" spans="1:13" x14ac:dyDescent="0.3">
      <c r="A127" t="str">
        <f>IF(COUNTIF(Sheet2!A:A,D127)&gt;0,"Ada","Tidak Ada")</f>
        <v>Tidak Ada</v>
      </c>
      <c r="C127" t="str">
        <f>IF(A127="Ada",IF(IFERROR(VLOOKUP(D127,Sheet2!A:D,2,FALSE),"")="",IFERROR(VLOOKUP(D127,Sheet2!A:D,3,FALSE),""),VLOOKUP(D127,Sheet2!A:D,2,FALSE)),"")</f>
        <v/>
      </c>
      <c r="D127" s="2">
        <v>1571310439</v>
      </c>
      <c r="E127" t="s">
        <v>0</v>
      </c>
      <c r="F127" t="s">
        <v>254</v>
      </c>
      <c r="G127" t="s">
        <v>255</v>
      </c>
      <c r="H127" s="1">
        <v>46247</v>
      </c>
      <c r="I127" t="s">
        <v>3</v>
      </c>
      <c r="J127" t="s">
        <v>4</v>
      </c>
      <c r="K127" t="s">
        <v>5</v>
      </c>
      <c r="L127" t="s">
        <v>6</v>
      </c>
      <c r="M127" t="s">
        <v>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5A0240-4B53-4571-9694-7E2E7C87F1EF}">
  <dimension ref="A1:B71"/>
  <sheetViews>
    <sheetView workbookViewId="0">
      <selection activeCell="C1" sqref="C1:D56"/>
    </sheetView>
  </sheetViews>
  <sheetFormatPr defaultRowHeight="14.4" x14ac:dyDescent="0.3"/>
  <cols>
    <col min="1" max="2" width="24.6640625" customWidth="1"/>
    <col min="3" max="3" width="60.44140625" bestFit="1" customWidth="1"/>
    <col min="4" max="4" width="44.6640625" bestFit="1" customWidth="1"/>
  </cols>
  <sheetData>
    <row r="1" spans="1:2" x14ac:dyDescent="0.3">
      <c r="A1">
        <v>1571267469</v>
      </c>
    </row>
    <row r="2" spans="1:2" x14ac:dyDescent="0.3">
      <c r="A2">
        <v>1571267484</v>
      </c>
    </row>
    <row r="3" spans="1:2" x14ac:dyDescent="0.3">
      <c r="A3">
        <v>1571267967</v>
      </c>
      <c r="B3">
        <v>2300967</v>
      </c>
    </row>
    <row r="4" spans="1:2" x14ac:dyDescent="0.3">
      <c r="A4">
        <v>1571268176</v>
      </c>
    </row>
    <row r="5" spans="1:2" x14ac:dyDescent="0.3">
      <c r="A5">
        <v>1571273336</v>
      </c>
      <c r="B5">
        <v>2300336</v>
      </c>
    </row>
    <row r="6" spans="1:2" x14ac:dyDescent="0.3">
      <c r="A6">
        <v>1571279780</v>
      </c>
      <c r="B6">
        <v>3000780</v>
      </c>
    </row>
    <row r="7" spans="1:2" x14ac:dyDescent="0.3">
      <c r="A7">
        <v>1571280074</v>
      </c>
      <c r="B7">
        <v>2100074</v>
      </c>
    </row>
    <row r="8" spans="1:2" x14ac:dyDescent="0.3">
      <c r="A8">
        <v>1571280332</v>
      </c>
      <c r="B8">
        <v>2300332</v>
      </c>
    </row>
    <row r="9" spans="1:2" x14ac:dyDescent="0.3">
      <c r="A9">
        <v>1571281021</v>
      </c>
    </row>
    <row r="10" spans="1:2" x14ac:dyDescent="0.3">
      <c r="A10">
        <v>1571281084</v>
      </c>
    </row>
    <row r="11" spans="1:2" x14ac:dyDescent="0.3">
      <c r="A11">
        <v>1571282959</v>
      </c>
      <c r="B11">
        <v>2300959</v>
      </c>
    </row>
    <row r="12" spans="1:2" x14ac:dyDescent="0.3">
      <c r="A12">
        <v>1571286979</v>
      </c>
      <c r="B12">
        <v>3000979</v>
      </c>
    </row>
    <row r="13" spans="1:2" x14ac:dyDescent="0.3">
      <c r="A13">
        <v>1571289829</v>
      </c>
      <c r="B13">
        <v>2500829</v>
      </c>
    </row>
    <row r="14" spans="1:2" x14ac:dyDescent="0.3">
      <c r="A14">
        <v>1571290388</v>
      </c>
      <c r="B14">
        <v>3200388</v>
      </c>
    </row>
    <row r="15" spans="1:2" x14ac:dyDescent="0.3">
      <c r="A15">
        <v>1571290818</v>
      </c>
      <c r="B15">
        <v>2800818</v>
      </c>
    </row>
    <row r="16" spans="1:2" x14ac:dyDescent="0.3">
      <c r="A16">
        <v>1571291272</v>
      </c>
    </row>
    <row r="17" spans="1:2" x14ac:dyDescent="0.3">
      <c r="A17">
        <v>1571291423</v>
      </c>
      <c r="B17">
        <v>2300423</v>
      </c>
    </row>
    <row r="18" spans="1:2" x14ac:dyDescent="0.3">
      <c r="A18">
        <v>1571291625</v>
      </c>
    </row>
    <row r="19" spans="1:2" x14ac:dyDescent="0.3">
      <c r="A19">
        <v>1571291638</v>
      </c>
      <c r="B19">
        <v>2300638</v>
      </c>
    </row>
    <row r="20" spans="1:2" x14ac:dyDescent="0.3">
      <c r="A20">
        <v>1571291668</v>
      </c>
      <c r="B20">
        <v>2300668</v>
      </c>
    </row>
    <row r="21" spans="1:2" x14ac:dyDescent="0.3">
      <c r="A21">
        <v>1571291753</v>
      </c>
      <c r="B21">
        <v>3200000</v>
      </c>
    </row>
    <row r="22" spans="1:2" x14ac:dyDescent="0.3">
      <c r="A22">
        <v>1571291877</v>
      </c>
      <c r="B22" t="s">
        <v>259</v>
      </c>
    </row>
    <row r="23" spans="1:2" x14ac:dyDescent="0.3">
      <c r="A23">
        <v>1571291935</v>
      </c>
      <c r="B23">
        <v>2300935</v>
      </c>
    </row>
    <row r="24" spans="1:2" x14ac:dyDescent="0.3">
      <c r="A24">
        <v>1571294926</v>
      </c>
      <c r="B24">
        <v>2300926</v>
      </c>
    </row>
    <row r="25" spans="1:2" x14ac:dyDescent="0.3">
      <c r="A25">
        <v>1571295713</v>
      </c>
      <c r="B25">
        <v>2300713</v>
      </c>
    </row>
    <row r="26" spans="1:2" x14ac:dyDescent="0.3">
      <c r="A26">
        <v>1571296305</v>
      </c>
      <c r="B26">
        <v>2300305</v>
      </c>
    </row>
    <row r="27" spans="1:2" x14ac:dyDescent="0.3">
      <c r="A27">
        <v>1571297897</v>
      </c>
      <c r="B27">
        <v>2300897</v>
      </c>
    </row>
    <row r="28" spans="1:2" x14ac:dyDescent="0.3">
      <c r="A28">
        <v>1571298038</v>
      </c>
      <c r="B28">
        <v>2300038</v>
      </c>
    </row>
    <row r="29" spans="1:2" x14ac:dyDescent="0.3">
      <c r="A29">
        <v>1571298045</v>
      </c>
      <c r="B29">
        <v>2300045</v>
      </c>
    </row>
    <row r="30" spans="1:2" x14ac:dyDescent="0.3">
      <c r="A30">
        <v>1571298209</v>
      </c>
      <c r="B30">
        <v>2300209</v>
      </c>
    </row>
    <row r="31" spans="1:2" x14ac:dyDescent="0.3">
      <c r="A31">
        <v>1571298278</v>
      </c>
    </row>
    <row r="32" spans="1:2" x14ac:dyDescent="0.3">
      <c r="A32">
        <v>1571298391</v>
      </c>
      <c r="B32">
        <v>2500391</v>
      </c>
    </row>
    <row r="33" spans="1:2" x14ac:dyDescent="0.3">
      <c r="A33">
        <v>1571298458</v>
      </c>
      <c r="B33">
        <v>2300458</v>
      </c>
    </row>
    <row r="34" spans="1:2" x14ac:dyDescent="0.3">
      <c r="A34">
        <v>1571298535</v>
      </c>
    </row>
    <row r="35" spans="1:2" x14ac:dyDescent="0.3">
      <c r="A35">
        <v>1571298550</v>
      </c>
      <c r="B35">
        <v>2100000</v>
      </c>
    </row>
    <row r="36" spans="1:2" x14ac:dyDescent="0.3">
      <c r="A36">
        <v>1571298558</v>
      </c>
      <c r="B36">
        <v>3000558</v>
      </c>
    </row>
    <row r="37" spans="1:2" x14ac:dyDescent="0.3">
      <c r="A37">
        <v>1571298976</v>
      </c>
      <c r="B37">
        <v>2300976</v>
      </c>
    </row>
    <row r="38" spans="1:2" x14ac:dyDescent="0.3">
      <c r="A38">
        <v>1571299336</v>
      </c>
    </row>
    <row r="39" spans="1:2" x14ac:dyDescent="0.3">
      <c r="A39">
        <v>1571300264</v>
      </c>
      <c r="B39">
        <v>2700264</v>
      </c>
    </row>
    <row r="40" spans="1:2" x14ac:dyDescent="0.3">
      <c r="A40">
        <v>1571300636</v>
      </c>
    </row>
    <row r="41" spans="1:2" x14ac:dyDescent="0.3">
      <c r="A41">
        <v>1571300706</v>
      </c>
      <c r="B41">
        <v>2300706</v>
      </c>
    </row>
    <row r="42" spans="1:2" x14ac:dyDescent="0.3">
      <c r="A42">
        <v>1571301191</v>
      </c>
      <c r="B42">
        <v>3000191</v>
      </c>
    </row>
    <row r="43" spans="1:2" x14ac:dyDescent="0.3">
      <c r="A43">
        <v>1571303126</v>
      </c>
      <c r="B43">
        <v>2700126</v>
      </c>
    </row>
    <row r="44" spans="1:2" x14ac:dyDescent="0.3">
      <c r="A44">
        <v>1571304164</v>
      </c>
      <c r="B44">
        <v>2300164</v>
      </c>
    </row>
    <row r="45" spans="1:2" x14ac:dyDescent="0.3">
      <c r="A45">
        <v>1571304167</v>
      </c>
      <c r="B45">
        <v>2300167</v>
      </c>
    </row>
    <row r="46" spans="1:2" x14ac:dyDescent="0.3">
      <c r="A46">
        <v>1571304412</v>
      </c>
      <c r="B46">
        <v>3403383</v>
      </c>
    </row>
    <row r="47" spans="1:2" x14ac:dyDescent="0.3">
      <c r="A47">
        <v>1571304705</v>
      </c>
    </row>
    <row r="48" spans="1:2" x14ac:dyDescent="0.3">
      <c r="A48">
        <v>1571304827</v>
      </c>
    </row>
    <row r="49" spans="1:2" x14ac:dyDescent="0.3">
      <c r="A49">
        <v>1571305122</v>
      </c>
      <c r="B49">
        <v>2300122</v>
      </c>
    </row>
    <row r="50" spans="1:2" x14ac:dyDescent="0.3">
      <c r="A50">
        <v>1571305199</v>
      </c>
      <c r="B50">
        <v>2300199</v>
      </c>
    </row>
    <row r="51" spans="1:2" x14ac:dyDescent="0.3">
      <c r="A51">
        <v>1571305279</v>
      </c>
    </row>
    <row r="52" spans="1:2" x14ac:dyDescent="0.3">
      <c r="A52">
        <v>1571305316</v>
      </c>
      <c r="B52">
        <v>2300316</v>
      </c>
    </row>
    <row r="53" spans="1:2" x14ac:dyDescent="0.3">
      <c r="A53">
        <v>1571305337</v>
      </c>
      <c r="B53">
        <v>2300337</v>
      </c>
    </row>
    <row r="54" spans="1:2" x14ac:dyDescent="0.3">
      <c r="A54">
        <v>1571305354</v>
      </c>
    </row>
    <row r="55" spans="1:2" x14ac:dyDescent="0.3">
      <c r="A55">
        <v>1571305360</v>
      </c>
      <c r="B55">
        <v>2500360</v>
      </c>
    </row>
    <row r="56" spans="1:2" x14ac:dyDescent="0.3">
      <c r="A56">
        <v>1571305741</v>
      </c>
      <c r="B56">
        <v>2100741</v>
      </c>
    </row>
    <row r="57" spans="1:2" x14ac:dyDescent="0.3">
      <c r="A57">
        <v>1571306241</v>
      </c>
      <c r="B57">
        <v>2100241</v>
      </c>
    </row>
    <row r="58" spans="1:2" x14ac:dyDescent="0.3">
      <c r="A58">
        <v>1571306264</v>
      </c>
      <c r="B58">
        <v>2100264</v>
      </c>
    </row>
    <row r="59" spans="1:2" x14ac:dyDescent="0.3">
      <c r="A59">
        <v>1571307035</v>
      </c>
    </row>
    <row r="60" spans="1:2" x14ac:dyDescent="0.3">
      <c r="A60">
        <v>1571307129</v>
      </c>
    </row>
    <row r="61" spans="1:2" x14ac:dyDescent="0.3">
      <c r="A61">
        <v>1571307383</v>
      </c>
      <c r="B61">
        <v>3000383</v>
      </c>
    </row>
    <row r="62" spans="1:2" x14ac:dyDescent="0.3">
      <c r="A62">
        <v>1571307415</v>
      </c>
      <c r="B62">
        <v>2300000</v>
      </c>
    </row>
    <row r="63" spans="1:2" x14ac:dyDescent="0.3">
      <c r="A63">
        <v>1571307433</v>
      </c>
      <c r="B63">
        <v>2300433</v>
      </c>
    </row>
    <row r="64" spans="1:2" x14ac:dyDescent="0.3">
      <c r="A64">
        <v>1571307622</v>
      </c>
      <c r="B64">
        <v>2500622</v>
      </c>
    </row>
    <row r="65" spans="1:2" x14ac:dyDescent="0.3">
      <c r="A65">
        <v>1571307671</v>
      </c>
      <c r="B65">
        <v>2800671</v>
      </c>
    </row>
    <row r="66" spans="1:2" x14ac:dyDescent="0.3">
      <c r="A66">
        <v>1571307676</v>
      </c>
    </row>
    <row r="67" spans="1:2" x14ac:dyDescent="0.3">
      <c r="A67">
        <v>1571308724</v>
      </c>
    </row>
    <row r="68" spans="1:2" x14ac:dyDescent="0.3">
      <c r="A68">
        <v>1571308850</v>
      </c>
      <c r="B68">
        <v>2800000</v>
      </c>
    </row>
    <row r="69" spans="1:2" x14ac:dyDescent="0.3">
      <c r="A69">
        <v>1571309340</v>
      </c>
    </row>
    <row r="70" spans="1:2" x14ac:dyDescent="0.3">
      <c r="A70">
        <v>1571308850</v>
      </c>
    </row>
    <row r="71" spans="1:2" x14ac:dyDescent="0.3">
      <c r="A71">
        <v>1571309340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Rifqi Abdillah</dc:creator>
  <cp:lastModifiedBy>Rifqi Abdillah</cp:lastModifiedBy>
  <dcterms:created xsi:type="dcterms:W3CDTF">2026-07-27T01:40:04Z</dcterms:created>
  <dcterms:modified xsi:type="dcterms:W3CDTF">2026-08-03T07:57:26Z</dcterms:modified>
</cp:coreProperties>
</file>