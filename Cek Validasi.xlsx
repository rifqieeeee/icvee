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icvee\ICVEE\"/>
    </mc:Choice>
  </mc:AlternateContent>
  <xr:revisionPtr revIDLastSave="0" documentId="13_ncr:1_{35CFBF2C-3F93-4C40-9C6F-8ED85877AF27}" xr6:coauthVersionLast="47" xr6:coauthVersionMax="47" xr10:uidLastSave="{00000000-0000-0000-0000-000000000000}"/>
  <bookViews>
    <workbookView xWindow="-108" yWindow="-108" windowWidth="23256" windowHeight="12456" xr2:uid="{9BCEFB9A-EF35-43F1-AD2F-79243D21B5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 s="1"/>
  <c r="A3" i="1"/>
  <c r="B3" i="1" s="1"/>
  <c r="A4" i="1"/>
  <c r="B4" i="1" s="1"/>
  <c r="A5" i="1"/>
  <c r="B5" i="1" s="1"/>
  <c r="A6" i="1"/>
  <c r="B6" i="1" s="1"/>
  <c r="A7" i="1"/>
  <c r="B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</calcChain>
</file>

<file path=xl/sharedStrings.xml><?xml version="1.0" encoding="utf-8"?>
<sst xmlns="http://schemas.openxmlformats.org/spreadsheetml/2006/main" count="1094" uniqueCount="320">
  <si>
    <t>accepted</t>
  </si>
  <si>
    <t>Comparative Study of Rice Disease Detection Using ConvNeXt-Base and Conventional CNN Models</t>
  </si>
  <si>
    <t>Samuel Welson, S.Kom; Aniek Suryanti Kusuma; Putu Sugiartawan</t>
  </si>
  <si>
    <t>2026 Ninth International Conference on Vocational Education and Electrical Engineering (ICVEE)</t>
  </si>
  <si>
    <t>17-18 September 2026</t>
  </si>
  <si>
    <t>Surabaya, Indonesia</t>
  </si>
  <si>
    <t>Prof. Dr. Nurhayati, S.T., M.T.</t>
  </si>
  <si>
    <t>General Chair</t>
  </si>
  <si>
    <t>SentinelGuard-AI: Multi-Type Attack Detection Framework Using Natural Language Processing Processing (NLP) and Deep Q-Networks Reinforcement Learning (DQN-RL)</t>
  </si>
  <si>
    <t>Carlo Jude P Abuda; Kent Claire Apple Joy M Pallomina; Ketan Raju Kundiya; Cristina Dumdumaya</t>
  </si>
  <si>
    <t>Admission-to-Enrollment Outcome Forecasting Through Predictive Modeling for Visayas State University Alangalang</t>
  </si>
  <si>
    <t>Carlo Jude P Abuda; Kent Claire Apple Joy M Pallomina; Ronnie L. Luriaga; Maureen M Villamor</t>
  </si>
  <si>
    <t>The Efficacy of Large Language Model Tools in Solving Electrical Circuit Problems</t>
  </si>
  <si>
    <t>Mohamad Ramdhani; Athif Fadheel Atharahman; Suksmandhira Harimurti; Diyah Widiyasari</t>
  </si>
  <si>
    <t>Syntax-Preserving Diffusion Modeling of SQL Injection Attack Payloads Using Hilbert Space Feature Mapping</t>
  </si>
  <si>
    <t>Carlo Jude P Abuda; Kent Claire Apple Joy M Pallomina; Ketan Raju Kundiya</t>
  </si>
  <si>
    <t>An AI-Assisted QR-Based Assessment Model for Integrating Technical Mandarin and Vocational Competence in Indonesian Vocational Education</t>
  </si>
  <si>
    <t>S Sunarti</t>
  </si>
  <si>
    <t>Preliminary FPGA-Based Fixed-Point Feature Extraction for Anomaly Detection in Multi-Sensor Mechatronic Actuator Signals</t>
  </si>
  <si>
    <t>I Nyoman Kusuma Wardana; Ida Bagus Irawan Purnama; I Gusti Ngurah Agung Dwijaya Saputra; I Wayan Marlon Managi; Padma Nyoman Crisnapati; Dechrit Maneetham</t>
  </si>
  <si>
    <t>Design and Development of an Outseal PLC Mega-Based Trainer Kit as a Learning Tool for Electrical Motor Installation</t>
  </si>
  <si>
    <t>Mustofa Abi Hamid; Nuzulul Fikri; Irwanto; Muhammad Nurtanto; Bagus Dwi Cahyono; Muhammad Hakiki; Affero Ismail</t>
  </si>
  <si>
    <t>Comparative Analysis of GRU and LSTM for Microclimate Prediction in IoT-Enabled Smart Greenhouse</t>
  </si>
  <si>
    <t>Madukil Makruf; Mokh Sholihul Hadi; Ilham Ari Elbaith Zaeni; Masdukil Makruf</t>
  </si>
  <si>
    <t>E-Laag: Design, Development, and Evaluation of an Intelligent Mobile Tourism Application for Ubiquitous Travel Support</t>
  </si>
  <si>
    <t>Randy O. Descarten; Angielee G. Camarin</t>
  </si>
  <si>
    <t>Bagwis: A Co-Designed RPG-Based Ubiquitous Mobile Learning Application for Disaster Risk Reduction Education</t>
  </si>
  <si>
    <t>Jasten Keneth D Treceï¿½e</t>
  </si>
  <si>
    <t>Design and Evaluation of 923 MHz Inset-Fed Microstrip Antenna Arrays with 1x2 and 1x4 Configurations for LoRa Applications</t>
  </si>
  <si>
    <t>Afandi Sahputra; Syahrial; Teuku Yuliar Arif; Akhyar A; Yunida</t>
  </si>
  <si>
    <t>Enhancing Electricity Demand Forecasting Using Data Augmentation in a Hybrid Autoformer Framework (HAFF)</t>
  </si>
  <si>
    <t>Micheline Apolinar-Gotardo</t>
  </si>
  <si>
    <t>EEG Signal Analysis with sLORETA for Brain Mapping of Paper and Tablet Drawing in Early Childhood Education</t>
  </si>
  <si>
    <t>Osmalina Rahma; Sayyidul Istighfar Ittaqillah; Devito Andharu; Nafisa Rahmatul Laili Alami; Nita Lutfiyah; Dita Maryani; Rahadian Bisma; M Reza Ishadi Fadillah; Rifai Chai</t>
  </si>
  <si>
    <t>The Smart Scheduler: A Tri-Hybrid Graph-Genetic Approach to Departmental Exam Timetabling</t>
  </si>
  <si>
    <t>Milagros Engao; Ritchell S. Villafuerte; Jessie R. Paragas</t>
  </si>
  <si>
    <t>Neural Architecture Search: Combines Quantum-Inspired PSO with Gradient Descent for Automated Deep Learning Design</t>
  </si>
  <si>
    <t>Eko Puji Laksono; Aji P Wibawa; M. Zainal Arifin; Usman Nurhasan; Mohammad Arifin</t>
  </si>
  <si>
    <t>Vocational Education Management Information System (VEMIS) Design</t>
  </si>
  <si>
    <t>Nathanael Sitanggang; Arnita; Fanny Ramadhani; Putri Lynna Adelinna Luthan</t>
  </si>
  <si>
    <t>Performance Analysis and Optimization of Free Space Optical (FSO) Communication Systems in Severe Weather Conditions: A Study in Indonesia</t>
  </si>
  <si>
    <t>Jodhy Pradana; Miftadi Sudjai; Erna Sugesti</t>
  </si>
  <si>
    <t>An SDR-Based Communication System for Reliable Agricultural Data Transmission in Remote Areas</t>
  </si>
  <si>
    <t>Hendy Briantoro; Wahyu Pamungkas; Nilla Rachmaningrum; Muh Taufiq Nur Hidayat; Bima Pancara Haryono Putra</t>
  </si>
  <si>
    <t>ERICA: An AI-Based Humanoid Robot for Early Intervention Therapy in Children with Autism Pervasive Development Disorder</t>
  </si>
  <si>
    <t>Puput Wanarti Rusimamto; Muhammad Syariffuddien Zuhrie; Vivi Kurnia Herviani; Afrizal Luthfi Eka Arnatha; Dwi Aqidah</t>
  </si>
  <si>
    <t>The Effectiveness of PLC-HMI Based Power Synchronization Simulation in Improving Vocational Students' Psychomotor Learning Outcomes</t>
  </si>
  <si>
    <t>Astri Kusuma Wardhani</t>
  </si>
  <si>
    <t>Segmentation Approach to Improve the Efficiency of Concept Map Reconstruction Activity for Reading Support</t>
  </si>
  <si>
    <t>Ridwan Rismanto; Galih P Riatma; Usman Nurhasan; Endah Septa Sintiya</t>
  </si>
  <si>
    <t>Author Name Disambiguation in Digital Libraries via Hybrid VAE-DNN for Imbalanced Pairwise Matching</t>
  </si>
  <si>
    <t>Hamid Rahman; Usman Ependi</t>
  </si>
  <si>
    <t>SnakeSafe: Lightweight Deep Learning for Edge Native Venomous Snake Identification</t>
  </si>
  <si>
    <t>Dave Shanna Marie E. Gigawin; John Paul L. Ullegue; Maureen M Villamor; Leah O. Pelias</t>
  </si>
  <si>
    <t>Omniflow: An AI-Native Modular ERP Ecosystem with Integrated Observability for Intelligent Enterprise Systems</t>
  </si>
  <si>
    <t>Eric Julianto; Dian Alhusari; Safrizal Ardana Ardiyansa; Nurhikam; Fauzan Ihza Fajar; Amalan Fadil Gaib; Rachel Marta Maria; Nurul Andini; Anggito Karta Wijaya; Rahmatullah R</t>
  </si>
  <si>
    <t>GPS-Based Telematics for Decision-Making and Coal Stockpile Management Optimization: A Case Study of Digital Transformation in Indonesian Thermal Power</t>
  </si>
  <si>
    <t>Annisya Diaz Chandradewi</t>
  </si>
  <si>
    <t>Forecast-Driven Runoff Estimation and Community Flood Alert System for the Mainit River Using the SCS-CN Method</t>
  </si>
  <si>
    <t>Alexis Luke G Barlomento; Deborah G Brosas; Kent Claire Apple Joy M Pallomina</t>
  </si>
  <si>
    <t>MgTiO3-CaTiO3/Epoxy Composite as a Novel Substrate for Microstrip Patch Antenna Design</t>
  </si>
  <si>
    <t>Nurfarhana Mustafa; Nur Sofia Idayu Didik Aprianto; Imadeldin Elsayed Elmutasim; Nurhafizah Abu Talip Yusof; Mohamad Shaiful Abdul Karim</t>
  </si>
  <si>
    <t>E-Commerce Customer Behavior Analysis Using Web Analytics and Data Mining Based on Business Intelligence</t>
  </si>
  <si>
    <t>I Kadek Dwi Nuryana; Friskila Amanda Sipahutar</t>
  </si>
  <si>
    <t>Development of Artificial Intelligence-Based Analytics System for Licensure Examination Performance: A Study on BTLED-IA and BTLED-HE Students at MSU-MCEST</t>
  </si>
  <si>
    <t>Vedlin A. Talorete, Jr; Maureen M Villamor; Javer C. Borngo</t>
  </si>
  <si>
    <t>Comparing Q-Learning and Integer Linear Programming for Grid-Based Path Planning with Static Obstacles</t>
  </si>
  <si>
    <t>Cendra Devayana Putra; Bartolomeus Priya Perkasa Utama Widada; Pandu Dwi Luhur Pambudi; Berliana Devianti Putri; Erik Rahman</t>
  </si>
  <si>
    <t>Real-Time Location Monitoring System for Mountain Climbers Using GPS Tracker with LoRa-MQTT</t>
  </si>
  <si>
    <t>Fauziyah Wafa Abdillah; Aulia Istiqomah; Muhammad Irham Agil Kurniawan; Jatmiko Endro Suseno</t>
  </si>
  <si>
    <t>Perceived Risk, Trust, and Behavioral Intention to Use Generative AI: An Empirical Study Among Information Systems Students</t>
  </si>
  <si>
    <t>Erik Rahman; Muhammad Hakiki; Mohammad Wildan Habibi; Cendra Devayana Putra</t>
  </si>
  <si>
    <t>A Hybrid LSTM-DDPG Framework for Operating-Parameter Optimisation of a Two-Stage Transesterification Process</t>
  </si>
  <si>
    <t>Chardinal Butarbutar; Cendra Devayana Putra; Ikhsan Taipabu; Bartolomeus Priya Perkasa Utama Widada; Berliana Devianti Putri</t>
  </si>
  <si>
    <t>3D ResNet-50 for Brain Tumor MRI Classification: Glioma Grading on BraTS 2020 Dataset</t>
  </si>
  <si>
    <t>Abdur Rokhim; Hapsari Peni Agustin Tjahyaningtijas; Lusia Rakhmawati; Cucun Very Angkoso; Arik Kurniawati; I Ketut Eddy Purnama</t>
  </si>
  <si>
    <t>Effectiveness of a Validated Solar Cell Training Tool in Renewable Energy Education: Impact on Student Engagement and Learning Motivation</t>
  </si>
  <si>
    <t>Aditya Alpha Theodore</t>
  </si>
  <si>
    <t>Design and Performance Evaluation of a Real-Time Dual-Sensor Alcohol Detection for Halal Beverage Verification</t>
  </si>
  <si>
    <t>Amanu Isdadan; Ahmad Fauzan Adziimaa</t>
  </si>
  <si>
    <t>Implementation of Project-Based Learning Assisted by FEA 2D Frame to Support SDGs 4 in Static Determinate Structure Analysis Learning</t>
  </si>
  <si>
    <t>Muhammad Habib Alfian; Heri Suryaman; Muhammad Kris Yuan Hidayatulloh; Muhammad Adib Kurniawan</t>
  </si>
  <si>
    <t>Wideband Single-Port Cavity-Backed T-Shaped Monopole Antenna for Sub-6 GHz 5G Indoor Base Station Applications</t>
  </si>
  <si>
    <t>Said Douhi; Ahmed Jamal Abdullah Al-Gburi; Adil Eddiai</t>
  </si>
  <si>
    <t>Techno-Economic Feasibility of Sorghum Stalk Biomass Aggregation for Coal-Fired Power Plant Co-Firing in Indonesia</t>
  </si>
  <si>
    <t>Trassanda Scudetto Widestomo Putra; Eri Prabowo</t>
  </si>
  <si>
    <t>Optimizing Sustainable Performance Through Artificial Intelligence and Digital Literacy: An Analysis of the Moderating Role of Self-Confidence in Supporting SDG</t>
  </si>
  <si>
    <t>Muhammad Kris Yuan Hidayatulloh; Hilyah Ashoumi; Muhammad Habib Alfian; Omer CobanoÄŸlu</t>
  </si>
  <si>
    <t>Will-Skill-Tool Determinants of Digital Technology Integration Behavior Among Vocational High School Teachers</t>
  </si>
  <si>
    <t>Muhammad Oka Ramadhan; Dedi Rohendi; Thomas Koehler; Mustika Nuramalia Handayani; Ana</t>
  </si>
  <si>
    <t>Bio-Clinical BERT-Based Telemedicine System for Medical Diagnosis Classification and Procedure Recommendation in the Indonesian Healthcare Context</t>
  </si>
  <si>
    <t>Muhammad Andika Fadilla; Usman Ependi</t>
  </si>
  <si>
    <t>Explaining Continuance Intention Toward GenAI for Academic Task: The Role of Task-Technology Fit and Satisfaction</t>
  </si>
  <si>
    <t>Anggraeni Widya Purwita; Sri Suryanti; Riza Akhsani Setyo Prayoga; Anisa Yunita Sari; Mala Rosa Aprillya; Ying Wang</t>
  </si>
  <si>
    <t>Mobile-Based Inventory Management Application Development for Oh!Some Using Scrum Method</t>
  </si>
  <si>
    <t>Muhamad Priadika Tribuwono; Mochamad Hakim Haiman; Gorga Hosa Deo; Riyan Leandros</t>
  </si>
  <si>
    <t>A Proposed Conceptual Model of Integrated Factors Influencing E-Government in Developing Countries: A TOEI Perspective</t>
  </si>
  <si>
    <t>Beny Prasetyo; Siti Rochimah; Tony Dwi Susanto</t>
  </si>
  <si>
    <t>Information Systems Management of Smart Mobility for Sustainable Public Transport in Surabaya, Indonesia</t>
  </si>
  <si>
    <t>Deby Febriyan Eprilianto; Yuyun Eka Kartika Sari; Meirnawati Meirinawati; Indah Prabawati; Lisa Amelia Sari; Eni Febrianti</t>
  </si>
  <si>
    <t>Comparison of Spectral Clustering and K-Means Methods for Cluster Analysis of Tuberculosis Data in Indonesia</t>
  </si>
  <si>
    <t>A'yunin Sofro; Mayang Ariani Fitria Ananta; Khusnia Nurul Khikmah</t>
  </si>
  <si>
    <t>Reinforcement Learning-Based Tuning of LQR Weighting Matrices for Quadcopter Trajectory Tracking</t>
  </si>
  <si>
    <t>Yandhika Surya Akbar Gumilang; Suko Wiyanto; Ali Nur Fathoni; Rifqi Firmansyah; Wahyu Sasongko Putro; Nur Fitria</t>
  </si>
  <si>
    <t>Development of Visual Novel Game as History Learning Medium Integrated with Digital Ethics</t>
  </si>
  <si>
    <t>Nanditya Vianti Putri; Febri Liantoni; Cucuk Budiyanto</t>
  </si>
  <si>
    <t>RAG-Based Automated Question Generation System for the Learning Management System Balai Diklat Keagamaan Denpasar</t>
  </si>
  <si>
    <t>I Gusti Ngurah Suariana; Aniek Suryanti Kusuma; I Putu Agus Eka Darma Udayana; Putu Sugiartawan; Ni Wayan Sumartini Saraswati; Kadek Gemilang Santiyuda</t>
  </si>
  <si>
    <t>Deep Learning-Based Recommendation System for Career Path Prediction in Vocational Education</t>
  </si>
  <si>
    <t>Sugeng Hari Wibowo; Aniek Suryanti Kusuma; I Putu Agus Eka Darma Udayana; Putu Sugiartawan; Ni Wayan Sumartini Saraswati; Kadek Gemilang Santiyuda</t>
  </si>
  <si>
    <t>Hyperparameter XGBoost-Based Recommendation System for Student Disciplinary Intervention</t>
  </si>
  <si>
    <t>Sugito O; Aniek Suryanti Kusuma; Kadek Gemilang Santiyuda; I Putu Agus Eka Darma Udayana; Putu Sugiartawan; Ni Wayan Sumartini Saraswati</t>
  </si>
  <si>
    <t>Explainable Machine Learning-Based Competency Gap Analysis for Predicting Workforce Readiness of Electrical Engineering Education Graduates</t>
  </si>
  <si>
    <t>Ali Nur Fathoni; Alfredo Arianto Permana Putra; Inaya Retno Putri; Khusnul Khotimah; L Endah Cahya Ningrum; Ismet Basuki; Subuh Haryudo; Yuli Sutoto Nugroho</t>
  </si>
  <si>
    <t>CLAHE-Enhanced YOLO Models for Crowd Counting Under Sunset Illumination in Beach Club Surveillance</t>
  </si>
  <si>
    <t>I Gusti Bagus Wiraditya; Putu Sugiartawan; Kadek Gemilang Santiyuda; Aniek Suryanti Kusuma; Ni Wayan Sumartini Saraswati; I Putu Agus Eka Darma Udayana</t>
  </si>
  <si>
    <t>Smart IoT-Based Overcurrent and Overheat Protection System for Flat-Die Pellet Machine Using DC Motor Simulation</t>
  </si>
  <si>
    <t>I Made Kurniawan Putra; Aniek Suryanti Kusuma; I Putu Agus Eka Darma Udayana; Putu Sugiartawan; Ni Wayan Sumartini Saraswati; Kadek Gemilang Santiyuda</t>
  </si>
  <si>
    <t>Odoo-Based Enterprise Resource Planning Implementation for Sales Management: A Quickstart Method Approach</t>
  </si>
  <si>
    <t>Titus Kristanto; Cita Lentera Liagum Putri; Krisnayanti Aditasari</t>
  </si>
  <si>
    <t>RAG for Automatic Scoring of Concept-Map Propositions: A Pilot Study on Explanation Grounding and Retrieval Quality</t>
  </si>
  <si>
    <t>Maskur; Didik Dwi Prasetya; Triyanna Widiyaningtyas; Wan Mohd Nasir Wan Kadir</t>
  </si>
  <si>
    <t>Moringa Leaf Quality Classification Using XGBoost, Random Forest, and Support Vector Machine</t>
  </si>
  <si>
    <t>I Gusti Ngurah Hendra Frasetya; Putu Sugiartawan; Ngakan Putu Darma Yasa; I Putu Agus Eka Darma Udayana; Ni Wayan Sumartini Saraswati; I Dewa Ayu Sri Murdhani</t>
  </si>
  <si>
    <t>Classification of Karangasem Snake Fruit Types Based on Digital Images Using MobileNetV2 Transfer Learning</t>
  </si>
  <si>
    <t>I Wayan Sumarno</t>
  </si>
  <si>
    <t>Analysis of the Role of Generative AI in Enhancing Human-in-the-Loop-Based Customer Service Communication</t>
  </si>
  <si>
    <t>I Gusti Ngurah Bagus Widiatmika; Putu Sugiartawan; I Putu Agus Eka Darma Udayana</t>
  </si>
  <si>
    <t>Sensitivity Evaluation of k-Values in Outlier-Aware k-Means and k-NN Algorithms for Network Intrusion Anomaly Identification</t>
  </si>
  <si>
    <t>Anisa Dzulkarnain; Mochamad Nizar Palefi Ma'ady; Arip Ramadan; Berlian Rahmy Lidiawaty</t>
  </si>
  <si>
    <t>Sea Hunter Amerta 1 Firefighter Autonomous Surface Vehicle as Maritime Technology for Ship Fire Accident Evacuation Using YOLOv11</t>
  </si>
  <si>
    <t>Parama Diptya Widayaka; Sayyidul Aulia Alamsyah; Yandhika Surya Akbar Gumilang; Rifqi Firmansyah; Muhammad Rizqi Firjatullah Al-Azizi; Mulia Niko Adi Prasojo; Aleminaitha Kerina Beru Ginting</t>
  </si>
  <si>
    <t>Random Phase Pre-Coding for Quantization Lobe Suppression in Passive 1-Bit Programmable RIS</t>
  </si>
  <si>
    <t>Safpbri Johari; Azuwa Ali; Mohd Najib Mohd Yasin; Nurhayati; Arif Mawardi Ismail; Ismahayati Adam; Unit Three Kartini; Mohd Amirul Helmi Ismail</t>
  </si>
  <si>
    <t>Attention-Enhanced Multi-Output LSTM for Multi-Aspect Sentiment Understanding in Indonesian Fashion Marketplace</t>
  </si>
  <si>
    <t>Fajar Romadhan; Ari Muzakir; Usman Ependi; Andri</t>
  </si>
  <si>
    <t>Enhanced Moringa Leaf Quality Classification Using Vision Transformer and GAN-Based Data Augmentation</t>
  </si>
  <si>
    <t>Selvisiana Karmilan; Putu Sugiartawan; Ketut Sepdyana Kartini; Putu Wirayudi Aditama; Ayu Gede Willdahlia; I Dewa Ayu Sri Murdhani</t>
  </si>
  <si>
    <t>Analysis of Entrepreneurial Intention Among Students Using the Resource-Based View Theory</t>
  </si>
  <si>
    <t>Abdullah Billman; Choi Sang Long Choi Sang Long; Chandra Restu Pradipto; Isanawikrama; Aloysius Bernanda Gunawan; Bambang Pratama</t>
  </si>
  <si>
    <t>A Novel Nonlinear Controller for Medical Furnace Temperature Control</t>
  </si>
  <si>
    <t>Layla Hattim Abood; Mustafa Q. Ali; Marwa F Jassim</t>
  </si>
  <si>
    <t>Advanced Control of PV-Cascade Boost DC-DC and Three-Leg Single-Phase Inverter Using Double-Loop Control</t>
  </si>
  <si>
    <t>Albertus Andika Tri Anggoro; Leonardus Heru Pratomo</t>
  </si>
  <si>
    <t>Predicting Students' Behavioral Intention to Adopt Generative AI Tools: Evidence from an Indonesian Higher Education Context</t>
  </si>
  <si>
    <t>Ayu Gede Willdahlia; Desak Made Dwi Utami Putra; Anak Agung Gde Ekayana; Aniek Suryanti Kusuma; Komang Kurniawan Widiartha</t>
  </si>
  <si>
    <t>Development of Contextual Teaching and Learning-Based Robotics Learning Devices for Vocational Education</t>
  </si>
  <si>
    <t>Muhammad Syariffuddien Zuhrie; Agus Wiyono; Fendi Achmad; Dwi Aqidah; Afrizal Luthfi Eka Arnatha; Muhammad Nawwarudin</t>
  </si>
  <si>
    <t>Design and Evaluation of an IoT-Based EMG Monitoring System for Contraction Level Classification</t>
  </si>
  <si>
    <t>Erika Loniza; Nadya Ananda Melia; Kurnia Chairunnisa; Intan Mutiara Putri; Wiwik Puspita Dewi; Hanifah Rahmi Fajrin</t>
  </si>
  <si>
    <t>Identification of Students Learning Styles in Digital Environments: A Systematic Review of Kolb's Model</t>
  </si>
  <si>
    <t>Aditya Sheva Pratama; Febri Liantoni</t>
  </si>
  <si>
    <t>Implementation and Performance Evaluation of Rule-Based Systems in Educational Assessment</t>
  </si>
  <si>
    <t>Muhammad Fahry Ali; Febri Liantoni</t>
  </si>
  <si>
    <t>ANFIS-Based Rotational Speed Control of an Oil-Draining Spinner for Banana Chips</t>
  </si>
  <si>
    <t>Pungky Alvina Prasistya; Putri Y Aisyah; Akhmad Ibnu Hija; Muhammad Roy Ashiddiqi; Shintyana Dewi</t>
  </si>
  <si>
    <t>Parametric Analysis of Dielectric Loss in Pineapple Leaf Fiber Composites for RF Applications</t>
  </si>
  <si>
    <t>Siti Nur Hidayah Zamri; Mohamad Shaiful Abdul Karim; Hepi Ludiyati; Nurhafizah Abu Talip Yusof</t>
  </si>
  <si>
    <t>Machine Learning Based Sentiment Analysis for Islamic Banking Service Monitoring</t>
  </si>
  <si>
    <t>Ramdani; Moch. Khoirul Anwar; Clarashinta Canggih; Yan Putra Timur; Alfin Maulana; Anisa Fadilah Zustika</t>
  </si>
  <si>
    <t>Voltage-Mode Second-Order VCII-Based Universal Filter with Independent Controllability of Gain-Quality Factor and Pole Frequency</t>
  </si>
  <si>
    <t>Burin Theppota; Winai Jaikla; Montree Siripruchyanun</t>
  </si>
  <si>
    <t>Reimagining Engineering Education Through a Narrative-Driven Pedagogical Framework: Panj-Ganj Mode</t>
  </si>
  <si>
    <t>Parham Karimi; Roghayeh Gavagsaz-Ghoachani; Matheepot Phattanasak; Serge Pierfederici</t>
  </si>
  <si>
    <t>Design and Implementation of a Three-Phase Buck Chopper with Phase Leg Independent Current Regulation for Synchronous Generator Excitation</t>
  </si>
  <si>
    <t>Putri Christianti Harefa; Leonardus Heru Pratomo</t>
  </si>
  <si>
    <t>Comparative Analysis of YOLOv11 and MobileNetV3 with Bayesian Optimization for Balinese Character Recognition on Lontar Manuscript</t>
  </si>
  <si>
    <t>I Putu Agus Eka Darma Udayana; Putu Ayu Febyanti; I Putu Raditya Maheswara</t>
  </si>
  <si>
    <t>MechSim Laboratory: An Interactive Digital Learning Platform for Chassis Technology in Mechanical Engineering Education</t>
  </si>
  <si>
    <t>Muamar Zainul Arif; Yudha Bima Herlambang; Ahmad Zulkifli Baihaqi; Djoko Suwito, M.Pd.; Theodorus Wijayanto; Rafi Haidar Rifaldo</t>
  </si>
  <si>
    <t>Hybrid Ground Truth from Multi-Algorithm Consensus for Annotation-Efficient Carotid Ultrasound Segmentation</t>
  </si>
  <si>
    <t>Mifta Nur Farid; Tri Sardjono; Hendra Kusuma; Thomas Statheros; Vasile Palade</t>
  </si>
  <si>
    <t>Performance Comparison of Classical and Modern RAG Approaches in Multimodal-Based Academic Chatbots</t>
  </si>
  <si>
    <t>Yuni Yamasari; Kartika Wulandari; I Made Suartana; Agus Prihanto; Ricky Eka Putra; Anita Qoiriah</t>
  </si>
  <si>
    <t>A Construction-Based Multisensory Method for Teaching Boost Converter Topology, Equations, and Simulink Models</t>
  </si>
  <si>
    <t>Saman Pirehbabi; Fatemeh Zaker-Moghaddam; Roghayeh Gavagsaz-Ghoachani; Matheepot Phattanasak; Serge Pierfederici</t>
  </si>
  <si>
    <t>Neutral Current Analysis in Three-Phase Four-Wire Systems with Shunt Active Power Filtering Under Non-Linear Loads</t>
  </si>
  <si>
    <t>Hastupara Amurwojakti; Slamet Riyadi</t>
  </si>
  <si>
    <t>Confidence-Based Pseudo-Labeling IndoBERT for Aspect-Based Sentiment Analysis of Indonesian Fashion Reviews</t>
  </si>
  <si>
    <t>Alya Esa Mentari; Ari Muzakir; Edi Surya Negara; Megawaty</t>
  </si>
  <si>
    <t>A Comparative Analysis of StandardScaler and MinMaxScaler Normalization for Deep Neural Network-Based Dengue Fever Classification</t>
  </si>
  <si>
    <t>Ramadhani Vanva Fauzia; Mochamad Nizar Palefi Ma'ady; Berlian Rahmy Lidiawaty</t>
  </si>
  <si>
    <t>A Comparative Study of Reinforcement Learning-Based Daily and Time-Series PPO Agents for Raw Coffee Bean Inventory Management</t>
  </si>
  <si>
    <t>Stephanie Debora Assa; Mochamad Nizar Palefi Ma'ady; Berlian Rahmy Lidiawaty</t>
  </si>
  <si>
    <t>When Intelligent Assistance Becomes Academic Strain: Psychological Pathways Among Engineering Students in AI-Assisted Learning</t>
  </si>
  <si>
    <t>Bima Yatna Anugerah Ramadhani; Ratna Suhartini; Umi Aslamiyah; Januar Nur Rohmah Suprihartini; Yasmine Mnassri</t>
  </si>
  <si>
    <t>SkinMatch: A Wide &amp; Deep Learning Recommender Enhanced with Factorization Machines for Personalized Skincare Product Recommendation</t>
  </si>
  <si>
    <t>Ervin Yohannes</t>
  </si>
  <si>
    <t>CL-AdaViT: Characterizing Failure Modes of Closed-Loop Adaptive Token Selection for Limited-Data Face Verification</t>
  </si>
  <si>
    <t>Juris Vassa Ivandro; Mohamad Agung Prawira Negara; Bayu Taruna WIdjaja Putra</t>
  </si>
  <si>
    <t>Redesigning a Legacy University Dashboard Using Design Thinking to Support Real-Time Institutional Decision Making</t>
  </si>
  <si>
    <t>Rindu Wibawa; I Gusti Lanang Putra Eka Prismana; Yeni Anistyasari</t>
  </si>
  <si>
    <t>Exploring Personalization, Feedback Mechanisms, and Global Research Trends of Artificial Intelligence in Vocational Education Assessment</t>
  </si>
  <si>
    <t>Dwi Fitria Al Husaeni; Amay Suherman; Budi Mulyanti; Ade Abdullah; Lala Septem Riza; Eki Nugraha</t>
  </si>
  <si>
    <t>A Smart IoT-Based System for Automated Nutritional Status Assessment in Toddlers Using Anthropometric Measurements</t>
  </si>
  <si>
    <t>Ully Dhiya Marina; Pradini Puspitaningayu; Muhammad 'Aamir Nashrullah; Shafa Dyah Ayu Zahra</t>
  </si>
  <si>
    <t>STB-MING: Low-Cost Edge IoT Platform for Real-Time Plant Electrophysiological Signal Acquisition</t>
  </si>
  <si>
    <t>Rais Nurwahyudin; Khairul Anam; Saiful Bukhori</t>
  </si>
  <si>
    <t>Comparative Analysis of Passive and Active Cooling Technologies for Photovoltaic Module Thermal Management and Power Output Optimization</t>
  </si>
  <si>
    <t>Muhammad Raya Maulana; Triwahju Hardianto; Bambang Sujanarko</t>
  </si>
  <si>
    <t>Development of Cognitive Load-Based 2D Animated Multimedia to Improve Learning Efficiency</t>
  </si>
  <si>
    <t>Desak Made Dwi Utami Putra; Aniek Suryanti Kusuma; Anak Agung Gde Ekayana; Ayu Gede Willdahlia; I Made Adi Surya Natha</t>
  </si>
  <si>
    <t>Development of an Artificial Intelligence-Based Animal Feed Formulation Application as an Effort to Reduce Animal Manure Waste</t>
  </si>
  <si>
    <t>Ramadhan Cakra Wibawa; Nur Kholis Wakhid; Yudha Bima Herlambang; Ahmad Zulkifli Baihaqi; Cahya Dwi Rahmawati; Harun Al Rosyid; Anggraeni Widya Purwita</t>
  </si>
  <si>
    <t>Deep Learning App Development to Detect Plant Diseases in Indonesian Agriculture</t>
  </si>
  <si>
    <t>Ardhini Warih Utami; Muhammad Nizam Setiawan; Bartolomeus Priya Perkasa Utama Widada</t>
  </si>
  <si>
    <t>A Machine Learning Approach for Predicting Student Specialization: Classifier Comparison with Integrated Academic and Preference Features</t>
  </si>
  <si>
    <t>Martini Dwi Endah Susanti; Rindu Wibawa; Ramadhan Cakra Wibawa; Elvira Wardah; Ahmad Zulkifli Baihaqi; Nelani Shafatia Zulatifa</t>
  </si>
  <si>
    <t>An Integrated Web-Based Guidance and Counseling Service System with Automated Psychological Screening and Chatbot Triage for Engineering Students</t>
  </si>
  <si>
    <t>Dindy Sinta Megasari; Martini Dwi Endah Susanti; Sonia Pradita; Ramadhan Cakra Wibawa; Aries Indriyanti</t>
  </si>
  <si>
    <t>An Efficient First-Order All-Pass Filter with Single-Resistor Phase Control Using a Single VCII</t>
  </si>
  <si>
    <t>Burin Theppota; Wiset Saksiri; Montree Siripruchyanun</t>
  </si>
  <si>
    <t>A Carbon Monoxide Exposure Analysis for Motorcycle Riders Using Mobile Air Quality Monitoring System</t>
  </si>
  <si>
    <t>Alfiandi Aulia Rahmadani; Nobuo Funabiki; Htoo Htoo Sandi Kyaw; Noprianto Noprianto; Mustika Mentari; Yan Watequlis Syaifudin</t>
  </si>
  <si>
    <t>Feasibility Evaluation of an Adaptive, Explainable, and Gamified Expert System for Preliminary Stress Screening</t>
  </si>
  <si>
    <t>Putri Taqwa Prasetyaningrum; Usman Ependi; Ari Muzakir; Uci Suriani; Eka Puji Agustini; Marita Prasetyani</t>
  </si>
  <si>
    <t>Identifying Learner Satisfaction Factors Through Aspect-Based Sentiment Analysis of Indonesian German Language Course</t>
  </si>
  <si>
    <t>I Putu Agus Eka Darma Udayana; Angelika Deice Elizabeth Lantu</t>
  </si>
  <si>
    <t>Towards 6G-Oriented Disaster-Resilient Telecommunications: A Conceptual Taxonomy for Archipelagic Indonesia</t>
  </si>
  <si>
    <t>Fadli Sirait; Triyanto Pangaribowo; Fahraini Bacharudin; Jusoh Tajudin Mohd Taufik; Kaharudin Dimyati; Setiyo Budiyanto</t>
  </si>
  <si>
    <t>IndoRoBERTa-Based Cross-Modal Sentiment on Danantara Policy and IHSG Returns</t>
  </si>
  <si>
    <t>Wiyli Yustanti; I Kadek Dwi Nuryana; Cendra Devayana Putra; Monica Cinthya; Jiunn-Woei Lian</t>
  </si>
  <si>
    <t>Ontology and Natural Language Processing for Hierarchical Alignment Traceability in Outcome-Based Education</t>
  </si>
  <si>
    <t>Yeni Anistyasari; Ekohariadi; Shintami Chusnul Hidayati</t>
  </si>
  <si>
    <t>Deep Learning-Based Recognition of Lombok Songket Patterns Using Convolutional Neural Networks</t>
  </si>
  <si>
    <t>M Amrulloh; Putu Sugiartawan; I Putu Yoga Indrawan; Ni Wayan Sumartini Saraswati; I Gusti Ayu Agung Mas Aristamy</t>
  </si>
  <si>
    <t>A Dual-Stage Preprocessing Framework Using SRAD and CLAHE Combined with LBP-SVM for Breast Cancer Ultrasound Classification</t>
  </si>
  <si>
    <t>Hesti Khuzaimah Nurul Yusufiyah; Mukhammad Junizar Firmansyah; Anisja Noni Kartikasari; Fika Nur Aini; Sayyidul Aulia Alamsyah; Namira Jannah; Galih Ramadhani Muhammad</t>
  </si>
  <si>
    <t>Synthetic Data Augmentation Using GAN for Improved MobileNetV3-Based Moringa Leaf Classification</t>
  </si>
  <si>
    <t>I Dewa Gede Dika Mahendra; Putu Sugiartawan; Aniek Suryanti Kusuma</t>
  </si>
  <si>
    <t>Optimization of N-Dpid Control Using the Grey Wolf Optimizer Algorithm for Power Stability in a Hybrid Energy Storage System</t>
  </si>
  <si>
    <t>Lintang Deni Laksana; Sujito; Afifah Zahirah; M. Fazlur Rahman Addakhil; Mohamad Rodhi Faiz; Chelsea Aulia Arnelita</t>
  </si>
  <si>
    <t>Deep Reinforcement Learning-Based MIMO Controller Design for Maximum Energy Efficiency in Electric Vehicles</t>
  </si>
  <si>
    <t>Puput Wanarti Rusimamto</t>
  </si>
  <si>
    <t>Transfer Learning-Based Wayang Puppet Classification Using ConvNeXt-XLarge Architecture</t>
  </si>
  <si>
    <t>I Dewa Putu Gede Wiyata Putra; Putu Sugiartawan; I Dewa Ayu Sri Murdhani; I Nyoman Agus Suarya Putra; I Nyoman Alit Arsana</t>
  </si>
  <si>
    <t>Smartphone-Based Image Dataset for Dried Moringa Leaf Quality Classification Under Multiple Acquisition Conditions</t>
  </si>
  <si>
    <t>Putu Sugiartawan</t>
  </si>
  <si>
    <t>Comparative Study of Cased and Uncased BERT Models for Intent Classification in Natural Language Understanding</t>
  </si>
  <si>
    <t>Kadek Nonik Erawati; Putu Sugiartawan; I Dewa Ayu Sri Murdhani; I Nyoman Agus Suarya Putra; I Nyoman Alit Arsana</t>
  </si>
  <si>
    <t>MILP-Based Appliance Scheduling for Energy and Cost Optimization in IoT-Enabled Smart Home Systems</t>
  </si>
  <si>
    <t>Mohammad Noer Dafiq; Grezio Arifiyan; Arif Basofi; Sritrusta Sukaridhoto; Wahyu Nur Hidayat; Damar Galih Aji; Daffa Muhammad Irhamni</t>
  </si>
  <si>
    <t>Chicken Health Classification Based on Vocalizations Using Convolutional Neural Network (CNN)</t>
  </si>
  <si>
    <t>Nurwahid Rahman; Risdilah Mimma Untsa; Fannush Shofi Akbar; Arrizky Ayu Faradila Purnama; Muhsin</t>
  </si>
  <si>
    <t>Comparison of BER OTFS and OFDM Performance on FANET-Based WSN in Hovering and High Mobility Scheme</t>
  </si>
  <si>
    <t>Miftahur Rohman; Titiek Suryani; Ahmad Sirojuddin; Rifqi Firmansyah</t>
  </si>
  <si>
    <t>Design and Simulation of Compact Meander Line Antenna on Felt Substrate at 915 MHz Band for LoRa Application</t>
  </si>
  <si>
    <t>Rizky Febriabsyah</t>
  </si>
  <si>
    <t>Generative AI-Based Reading Literacy Assessment System for Independent Learning in Resource-Constrained Educational Environments</t>
  </si>
  <si>
    <t>Abiyasa Putra Prasetya; Yan Watequlis Syaifudin; Rakhmat Arianto; Mustika Mentari; Triana Fatmawati; Pramana Yoga Saputra</t>
  </si>
  <si>
    <t>Integrated PHP Programming Learning Modules with Automated Assessment: From Basic Syntax to RESTful API Development</t>
  </si>
  <si>
    <t>Yan Watequlis Syaifudin; Triana Fatmawati; Pramana Yoga Saputra; Nobuo Funabiki; Mustika Mentari; Yuri Ariyanto</t>
  </si>
  <si>
    <t>Design and Analysis of Wearable Antenna for Smart Health Monitoring Applications</t>
  </si>
  <si>
    <t>Anusha K; Manjuri Duraimurugan</t>
  </si>
  <si>
    <t>Digital Knowledge Platform for Basic Electrical Systems</t>
  </si>
  <si>
    <t>Yulia Fransisca; Subuh Haryudo; Heri Suryaman; Hanif Rifai Adha</t>
  </si>
  <si>
    <t>000</t>
  </si>
  <si>
    <t>Ada</t>
  </si>
  <si>
    <t>Athif Fadheel Atharahman</t>
  </si>
  <si>
    <t>Muhammad Raya Maulana, S.T</t>
  </si>
  <si>
    <t>Mrs. Alya Esa Mentari</t>
  </si>
  <si>
    <t>Nathanael Sitanggang; Putri Lynna A Luthan</t>
  </si>
  <si>
    <t>Annisya Diaz Chandradewi, Dwi Dya Nindasari</t>
  </si>
  <si>
    <t>Kurnia Chairunnisa</t>
  </si>
  <si>
    <t>Albertus Andika Tri Anggoro</t>
  </si>
  <si>
    <t>Putri Taqwa Prasetyaningrum</t>
  </si>
  <si>
    <t>Nanditya Vianti Putri</t>
  </si>
  <si>
    <t>Prof. Nathanael Sitanggang; Prof. Putri Lynna A. Luthan</t>
  </si>
  <si>
    <t>Beny Prasetyo</t>
  </si>
  <si>
    <t>Maskur</t>
  </si>
  <si>
    <t>Putri Christianti Harefa</t>
  </si>
  <si>
    <t>Stephanie Debora Assa</t>
  </si>
  <si>
    <t>Veldin A. Talorete Jr.</t>
  </si>
  <si>
    <t>Ramadhani Vanva Fauzia</t>
  </si>
  <si>
    <t>Mifta Nur Farid</t>
  </si>
  <si>
    <t>Aditya Sheva Pratama</t>
  </si>
  <si>
    <t>Nurwahid Rahman</t>
  </si>
  <si>
    <t>Mohammad Noer Dafiq</t>
  </si>
  <si>
    <t>DAVE SHANNA MARIE E. GIGAWIN &amp; JOHN PAUL L. ULLEGUE</t>
  </si>
  <si>
    <t>-</t>
  </si>
  <si>
    <t>Chandra Restu Pradipto, Aloysius Bernanda Gunawan, Bambang Pratama</t>
  </si>
  <si>
    <t>Muhammad Fahry Ali</t>
  </si>
  <si>
    <t>Dr. I Nyoman Kusuma Wardana</t>
  </si>
  <si>
    <t>Muhammad Andika Fadilla, S.Kom</t>
  </si>
  <si>
    <t>Dr. Hendy Briantoro</t>
  </si>
  <si>
    <t>Lintang Deni Laksana</t>
  </si>
  <si>
    <t>Mr. Fajar Romadhan</t>
  </si>
  <si>
    <t>Prof. Dr. Ir. Nathanael Sitanggang, S.T. M.Pd.</t>
  </si>
  <si>
    <t>Ir. Erika Loniza, S.T., M.Eng</t>
  </si>
  <si>
    <t>Afandi Sahputra, S.T., M.T.</t>
  </si>
  <si>
    <t>Hamid Rahman, M.Kom.</t>
  </si>
  <si>
    <t>Dr.Ir.Putri Taqwa Prasetyaningrum,S.T.,M.T</t>
  </si>
  <si>
    <t>Febri Liantoni, S.ST., M.Kom</t>
  </si>
  <si>
    <t>: Juris Vassa Ivandro, S.Kom</t>
  </si>
  <si>
    <t>Anisa Dzulkarnain, S.Kom., M.Kom.</t>
  </si>
  <si>
    <t>SUGITO, S.Kom</t>
  </si>
  <si>
    <t>rais nurwahyudin</t>
  </si>
  <si>
    <t>Prof. Dr. Ir. Putri Lynna A. Luthan, M.Sc</t>
  </si>
  <si>
    <t>Sugeng Hari Wibowo</t>
  </si>
  <si>
    <t>Beny Prasetyo, S.Kom., M.Kom</t>
  </si>
  <si>
    <t>Maskur, S.Kom., M.Kom</t>
  </si>
  <si>
    <t>Fauziyah Wafa'Abdillah, S.Tr.T.</t>
  </si>
  <si>
    <t>Mochamad Nizar Palefi Ma'ady, S.Kom., M.Kom., M.IM</t>
  </si>
  <si>
    <t>Mr. Veldin A. Talorete Jr.</t>
  </si>
  <si>
    <t>Mochamad Nizar Palefi Ma’ady, S.Kom., M.Kom., M.IM</t>
  </si>
  <si>
    <t>Mifta Nur Farid, S.T., M.T.</t>
  </si>
  <si>
    <t>Febri Liantoni</t>
  </si>
  <si>
    <t>Eric Julianto</t>
  </si>
  <si>
    <t>Sritrusta Sukaridhoto ,ST., Ph.D.</t>
  </si>
  <si>
    <t>Eko Puji Laksono, S.Kom.,M.Kom</t>
  </si>
  <si>
    <t>DAVE SHANNA MARIE E. GIGAWIN</t>
  </si>
  <si>
    <t>Hastupara Amurwojakti</t>
  </si>
  <si>
    <t>Fadli Sirait, S.Si, M.T, Ph.D</t>
  </si>
  <si>
    <t>Aditya Alpha Theodore, S.Pd.</t>
  </si>
  <si>
    <t>Abdullah Billman</t>
  </si>
  <si>
    <t>Yan Watequlis Syaifudin</t>
  </si>
  <si>
    <t>Osmalina Nur Rahma, S.T., M.Si.</t>
  </si>
  <si>
    <t>I Gusti bagus Wiraditya</t>
  </si>
  <si>
    <t>Prof. Ir. Yan Watequlis Syaifudin, ST., M.MT., Ph.D.</t>
  </si>
  <si>
    <t>Rifqi Abdillah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</si>
</sst>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83B3-BC2A-4809-B2F8-BB2F25E0028C}">
  <dimension ref="A1:L127"/>
  <sheetViews>
    <sheetView tabSelected="1" topLeftCell="A101" workbookViewId="0">
      <selection sqref="A1:A127"/>
    </sheetView>
  </sheetViews>
  <sheetFormatPr defaultRowHeight="14.4" x14ac:dyDescent="0.3"/>
  <cols>
    <col min="2" max="2" width="50.33203125" bestFit="1" customWidth="1"/>
    <col min="3" max="3" width="11" style="2" bestFit="1" customWidth="1"/>
    <col min="4" max="4" width="8.5546875" bestFit="1" customWidth="1"/>
    <col min="5" max="5" width="137.88671875" bestFit="1" customWidth="1"/>
    <col min="6" max="6" width="158.21875" bestFit="1" customWidth="1"/>
    <col min="7" max="7" width="9.33203125" bestFit="1" customWidth="1"/>
    <col min="8" max="8" width="78.33203125" bestFit="1" customWidth="1"/>
    <col min="9" max="9" width="19.33203125" bestFit="1" customWidth="1"/>
    <col min="10" max="10" width="17.33203125" bestFit="1" customWidth="1"/>
    <col min="11" max="11" width="24.33203125" bestFit="1" customWidth="1"/>
    <col min="12" max="12" width="12.109375" bestFit="1" customWidth="1"/>
  </cols>
  <sheetData>
    <row r="1" spans="1:12" x14ac:dyDescent="0.3">
      <c r="A1" t="s">
        <v>257</v>
      </c>
      <c r="B1" t="s">
        <v>319</v>
      </c>
      <c r="C1" s="2" t="s">
        <v>256</v>
      </c>
      <c r="D1" t="s">
        <v>0</v>
      </c>
      <c r="E1" t="s">
        <v>1</v>
      </c>
      <c r="F1" t="s">
        <v>2</v>
      </c>
      <c r="G1" s="1">
        <v>46247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3">
      <c r="A2" t="str">
        <f>IF(COUNTIF(Sheet2!A:A,C2)&gt;0,"Ada","Tidak Ada")</f>
        <v>Tidak Ada</v>
      </c>
      <c r="B2" t="str">
        <f>IF(A2="Ada",IF(IFERROR(VLOOKUP(C2,Sheet2!A:C,2,FALSE),"")="",IFERROR(VLOOKUP(C2,Sheet2!A:C,3,FALSE),""),VLOOKUP(C2,Sheet2!A:C,2,FALSE)),"")</f>
        <v/>
      </c>
      <c r="C2" s="2">
        <v>1571257569</v>
      </c>
      <c r="D2" t="s">
        <v>0</v>
      </c>
      <c r="E2" t="s">
        <v>1</v>
      </c>
      <c r="F2" t="s">
        <v>2</v>
      </c>
      <c r="G2" s="1">
        <v>46247</v>
      </c>
      <c r="H2" t="s">
        <v>3</v>
      </c>
      <c r="I2" t="s">
        <v>4</v>
      </c>
      <c r="J2" t="s">
        <v>5</v>
      </c>
      <c r="K2" t="s">
        <v>6</v>
      </c>
      <c r="L2" t="s">
        <v>7</v>
      </c>
    </row>
    <row r="3" spans="1:12" x14ac:dyDescent="0.3">
      <c r="A3" t="str">
        <f>IF(COUNTIF(Sheet2!A:A,C3)&gt;0,"Ada","Tidak Ada")</f>
        <v>Ada</v>
      </c>
      <c r="B3" t="str">
        <f>IF(A3="Ada",IF(IFERROR(VLOOKUP(C3,Sheet2!A:C,2,FALSE),"")="",IFERROR(VLOOKUP(C3,Sheet2!A:C,3,FALSE),""),VLOOKUP(C3,Sheet2!A:C,2,FALSE)),"")</f>
        <v>Dr. I Nyoman Kusuma Wardana</v>
      </c>
      <c r="C3" s="2">
        <v>1571267469</v>
      </c>
      <c r="D3" t="s">
        <v>0</v>
      </c>
      <c r="E3" t="s">
        <v>8</v>
      </c>
      <c r="F3" t="s">
        <v>9</v>
      </c>
      <c r="G3" s="1">
        <v>46247</v>
      </c>
      <c r="H3" t="s">
        <v>3</v>
      </c>
      <c r="I3" t="s">
        <v>4</v>
      </c>
      <c r="J3" t="s">
        <v>5</v>
      </c>
      <c r="K3" t="s">
        <v>6</v>
      </c>
      <c r="L3" t="s">
        <v>7</v>
      </c>
    </row>
    <row r="4" spans="1:12" x14ac:dyDescent="0.3">
      <c r="A4" t="str">
        <f>IF(COUNTIF(Sheet2!A:A,C4)&gt;0,"Ada","Tidak Ada")</f>
        <v>Ada</v>
      </c>
      <c r="B4" t="str">
        <f>IF(A4="Ada",IF(IFERROR(VLOOKUP(C4,Sheet2!A:C,2,FALSE),"")="",IFERROR(VLOOKUP(C4,Sheet2!A:C,3,FALSE),""),VLOOKUP(C4,Sheet2!A:C,2,FALSE)),"")</f>
        <v>Athif Fadheel Atharahman</v>
      </c>
      <c r="C4" s="2">
        <v>1571267484</v>
      </c>
      <c r="D4" t="s">
        <v>0</v>
      </c>
      <c r="E4" t="s">
        <v>10</v>
      </c>
      <c r="F4" t="s">
        <v>11</v>
      </c>
      <c r="G4" s="1">
        <v>46247</v>
      </c>
      <c r="H4" t="s">
        <v>3</v>
      </c>
      <c r="I4" t="s">
        <v>4</v>
      </c>
      <c r="J4" t="s">
        <v>5</v>
      </c>
      <c r="K4" t="s">
        <v>6</v>
      </c>
      <c r="L4" t="s">
        <v>7</v>
      </c>
    </row>
    <row r="5" spans="1:12" x14ac:dyDescent="0.3">
      <c r="A5" t="str">
        <f>IF(COUNTIF(Sheet2!A:A,C5)&gt;0,"Ada","Tidak Ada")</f>
        <v>Ada</v>
      </c>
      <c r="B5" t="str">
        <f>IF(A5="Ada",IF(IFERROR(VLOOKUP(C5,Sheet2!A:C,2,FALSE),"")="",IFERROR(VLOOKUP(C5,Sheet2!A:C,3,FALSE),""),VLOOKUP(C5,Sheet2!A:C,2,FALSE)),"")</f>
        <v>Muhammad Andika Fadilla, S.Kom</v>
      </c>
      <c r="C5" s="2">
        <v>1571267967</v>
      </c>
      <c r="D5" t="s">
        <v>0</v>
      </c>
      <c r="E5" t="s">
        <v>12</v>
      </c>
      <c r="F5" t="s">
        <v>13</v>
      </c>
      <c r="G5" s="1">
        <v>46247</v>
      </c>
      <c r="H5" t="s">
        <v>3</v>
      </c>
      <c r="I5" t="s">
        <v>4</v>
      </c>
      <c r="J5" t="s">
        <v>5</v>
      </c>
      <c r="K5" t="s">
        <v>6</v>
      </c>
      <c r="L5" t="s">
        <v>7</v>
      </c>
    </row>
    <row r="6" spans="1:12" x14ac:dyDescent="0.3">
      <c r="A6" t="str">
        <f>IF(COUNTIF(Sheet2!A:A,C6)&gt;0,"Ada","Tidak Ada")</f>
        <v>Ada</v>
      </c>
      <c r="B6" t="str">
        <f>IF(A6="Ada",IF(IFERROR(VLOOKUP(C6,Sheet2!A:C,2,FALSE),"")="",IFERROR(VLOOKUP(C6,Sheet2!A:C,3,FALSE),""),VLOOKUP(C6,Sheet2!A:C,2,FALSE)),"")</f>
        <v>Muhammad Raya Maulana, S.T</v>
      </c>
      <c r="C6" s="2">
        <v>1571268176</v>
      </c>
      <c r="D6" t="s">
        <v>0</v>
      </c>
      <c r="E6" t="s">
        <v>14</v>
      </c>
      <c r="F6" t="s">
        <v>15</v>
      </c>
      <c r="G6" s="1">
        <v>46247</v>
      </c>
      <c r="H6" t="s">
        <v>3</v>
      </c>
      <c r="I6" t="s">
        <v>4</v>
      </c>
      <c r="J6" t="s">
        <v>5</v>
      </c>
      <c r="K6" t="s">
        <v>6</v>
      </c>
      <c r="L6" t="s">
        <v>7</v>
      </c>
    </row>
    <row r="7" spans="1:12" x14ac:dyDescent="0.3">
      <c r="A7" t="str">
        <f>IF(COUNTIF(Sheet2!A:A,C7)&gt;0,"Ada","Tidak Ada")</f>
        <v>Tidak Ada</v>
      </c>
      <c r="B7" t="str">
        <f>IF(A7="Ada",IF(IFERROR(VLOOKUP(C7,Sheet2!A:C,2,FALSE),"")="",IFERROR(VLOOKUP(C7,Sheet2!A:C,3,FALSE),""),VLOOKUP(C7,Sheet2!A:C,2,FALSE)),"")</f>
        <v/>
      </c>
      <c r="C7" s="2">
        <v>1571273336</v>
      </c>
      <c r="D7" t="s">
        <v>0</v>
      </c>
      <c r="E7" t="s">
        <v>16</v>
      </c>
      <c r="F7" t="s">
        <v>17</v>
      </c>
      <c r="G7" s="1">
        <v>46247</v>
      </c>
      <c r="H7" t="s">
        <v>3</v>
      </c>
      <c r="I7" t="s">
        <v>4</v>
      </c>
      <c r="J7" t="s">
        <v>5</v>
      </c>
      <c r="K7" t="s">
        <v>6</v>
      </c>
      <c r="L7" t="s">
        <v>7</v>
      </c>
    </row>
    <row r="8" spans="1:12" x14ac:dyDescent="0.3">
      <c r="A8" t="str">
        <f>IF(COUNTIF(Sheet2!A:A,C8)&gt;0,"Ada","Tidak Ada")</f>
        <v>Ada</v>
      </c>
      <c r="B8" t="str">
        <f>IF(A8="Ada",IF(IFERROR(VLOOKUP(C8,Sheet2!A:C,2,FALSE),"")="",IFERROR(VLOOKUP(C8,Sheet2!A:C,3,FALSE),""),VLOOKUP(C8,Sheet2!A:C,2,FALSE)),"")</f>
        <v>Dr. Hendy Briantoro</v>
      </c>
      <c r="C8" s="2">
        <v>1571279780</v>
      </c>
      <c r="D8" t="s">
        <v>0</v>
      </c>
      <c r="E8" t="s">
        <v>18</v>
      </c>
      <c r="F8" t="s">
        <v>19</v>
      </c>
      <c r="G8" s="1">
        <v>46247</v>
      </c>
      <c r="H8" t="s">
        <v>3</v>
      </c>
      <c r="I8" t="s">
        <v>4</v>
      </c>
      <c r="J8" t="s">
        <v>5</v>
      </c>
      <c r="K8" t="s">
        <v>6</v>
      </c>
      <c r="L8" t="s">
        <v>7</v>
      </c>
    </row>
    <row r="9" spans="1:12" x14ac:dyDescent="0.3">
      <c r="A9" t="str">
        <f>IF(COUNTIF(Sheet2!A:A,C9)&gt;0,"Ada","Tidak Ada")</f>
        <v>Ada</v>
      </c>
      <c r="B9" t="str">
        <f>IF(A9="Ada",IF(IFERROR(VLOOKUP(C9,Sheet2!A:C,2,FALSE),"")="",IFERROR(VLOOKUP(C9,Sheet2!A:C,3,FALSE),""),VLOOKUP(C9,Sheet2!A:C,2,FALSE)),"")</f>
        <v>Lintang Deni Laksana</v>
      </c>
      <c r="C9" s="2">
        <v>1571280074</v>
      </c>
      <c r="D9" t="s">
        <v>0</v>
      </c>
      <c r="E9" t="s">
        <v>20</v>
      </c>
      <c r="F9" t="s">
        <v>21</v>
      </c>
      <c r="G9" s="1">
        <v>46247</v>
      </c>
      <c r="H9" t="s">
        <v>3</v>
      </c>
      <c r="I9" t="s">
        <v>4</v>
      </c>
      <c r="J9" t="s">
        <v>5</v>
      </c>
      <c r="K9" t="s">
        <v>6</v>
      </c>
      <c r="L9" t="s">
        <v>7</v>
      </c>
    </row>
    <row r="10" spans="1:12" x14ac:dyDescent="0.3">
      <c r="A10" t="str">
        <f>IF(COUNTIF(Sheet2!A:A,C10)&gt;0,"Ada","Tidak Ada")</f>
        <v>Tidak Ada</v>
      </c>
      <c r="B10" t="str">
        <f>IF(A10="Ada",IF(IFERROR(VLOOKUP(C10,Sheet2!A:C,2,FALSE),"")="",IFERROR(VLOOKUP(C10,Sheet2!A:C,3,FALSE),""),VLOOKUP(C10,Sheet2!A:C,2,FALSE)),"")</f>
        <v/>
      </c>
      <c r="C10" s="2">
        <v>1571280332</v>
      </c>
      <c r="D10" t="s">
        <v>0</v>
      </c>
      <c r="E10" t="s">
        <v>22</v>
      </c>
      <c r="F10" t="s">
        <v>23</v>
      </c>
      <c r="G10" s="1">
        <v>46247</v>
      </c>
      <c r="H10" t="s">
        <v>3</v>
      </c>
      <c r="I10" t="s">
        <v>4</v>
      </c>
      <c r="J10" t="s">
        <v>5</v>
      </c>
      <c r="K10" t="s">
        <v>6</v>
      </c>
      <c r="L10" t="s">
        <v>7</v>
      </c>
    </row>
    <row r="11" spans="1:12" x14ac:dyDescent="0.3">
      <c r="A11" t="str">
        <f>IF(COUNTIF(Sheet2!A:A,C11)&gt;0,"Ada","Tidak Ada")</f>
        <v>Ada</v>
      </c>
      <c r="B11" t="str">
        <f>IF(A11="Ada",IF(IFERROR(VLOOKUP(C11,Sheet2!A:C,2,FALSE),"")="",IFERROR(VLOOKUP(C11,Sheet2!A:C,3,FALSE),""),VLOOKUP(C11,Sheet2!A:C,2,FALSE)),"")</f>
        <v>Mr. Fajar Romadhan</v>
      </c>
      <c r="C11" s="2">
        <v>1571281021</v>
      </c>
      <c r="D11" t="s">
        <v>0</v>
      </c>
      <c r="E11" t="s">
        <v>24</v>
      </c>
      <c r="F11" t="s">
        <v>25</v>
      </c>
      <c r="G11" s="1">
        <v>46247</v>
      </c>
      <c r="H11" t="s">
        <v>3</v>
      </c>
      <c r="I11" t="s">
        <v>4</v>
      </c>
      <c r="J11" t="s">
        <v>5</v>
      </c>
      <c r="K11" t="s">
        <v>6</v>
      </c>
      <c r="L11" t="s">
        <v>7</v>
      </c>
    </row>
    <row r="12" spans="1:12" x14ac:dyDescent="0.3">
      <c r="A12" t="str">
        <f>IF(COUNTIF(Sheet2!A:A,C12)&gt;0,"Ada","Tidak Ada")</f>
        <v>Ada</v>
      </c>
      <c r="B12" t="str">
        <f>IF(A12="Ada",IF(IFERROR(VLOOKUP(C12,Sheet2!A:C,2,FALSE),"")="",IFERROR(VLOOKUP(C12,Sheet2!A:C,3,FALSE),""),VLOOKUP(C12,Sheet2!A:C,2,FALSE)),"")</f>
        <v>Mrs. Alya Esa Mentari</v>
      </c>
      <c r="C12" s="2">
        <v>1571281084</v>
      </c>
      <c r="D12" t="s">
        <v>0</v>
      </c>
      <c r="E12" t="s">
        <v>26</v>
      </c>
      <c r="F12" t="s">
        <v>27</v>
      </c>
      <c r="G12" s="1">
        <v>46247</v>
      </c>
      <c r="H12" t="s">
        <v>3</v>
      </c>
      <c r="I12" t="s">
        <v>4</v>
      </c>
      <c r="J12" t="s">
        <v>5</v>
      </c>
      <c r="K12" t="s">
        <v>6</v>
      </c>
      <c r="L12" t="s">
        <v>7</v>
      </c>
    </row>
    <row r="13" spans="1:12" x14ac:dyDescent="0.3">
      <c r="A13" t="str">
        <f>IF(COUNTIF(Sheet2!A:A,C13)&gt;0,"Ada","Tidak Ada")</f>
        <v>Ada</v>
      </c>
      <c r="B13" t="str">
        <f>IF(A13="Ada",IF(IFERROR(VLOOKUP(C13,Sheet2!A:C,2,FALSE),"")="",IFERROR(VLOOKUP(C13,Sheet2!A:C,3,FALSE),""),VLOOKUP(C13,Sheet2!A:C,2,FALSE)),"")</f>
        <v>Nathanael Sitanggang; Putri Lynna A Luthan</v>
      </c>
      <c r="C13" s="2">
        <v>1571282959</v>
      </c>
      <c r="D13" t="s">
        <v>0</v>
      </c>
      <c r="E13" t="s">
        <v>28</v>
      </c>
      <c r="F13" t="s">
        <v>29</v>
      </c>
      <c r="G13" s="1">
        <v>46247</v>
      </c>
      <c r="H13" t="s">
        <v>3</v>
      </c>
      <c r="I13" t="s">
        <v>4</v>
      </c>
      <c r="J13" t="s">
        <v>5</v>
      </c>
      <c r="K13" t="s">
        <v>6</v>
      </c>
      <c r="L13" t="s">
        <v>7</v>
      </c>
    </row>
    <row r="14" spans="1:12" x14ac:dyDescent="0.3">
      <c r="A14" t="str">
        <f>IF(COUNTIF(Sheet2!A:A,C14)&gt;0,"Ada","Tidak Ada")</f>
        <v>Tidak Ada</v>
      </c>
      <c r="B14" t="str">
        <f>IF(A14="Ada",IF(IFERROR(VLOOKUP(C14,Sheet2!A:C,2,FALSE),"")="",IFERROR(VLOOKUP(C14,Sheet2!A:C,3,FALSE),""),VLOOKUP(C14,Sheet2!A:C,2,FALSE)),"")</f>
        <v/>
      </c>
      <c r="C14" s="2">
        <v>1571284761</v>
      </c>
      <c r="D14" t="s">
        <v>0</v>
      </c>
      <c r="E14" t="s">
        <v>30</v>
      </c>
      <c r="F14" t="s">
        <v>31</v>
      </c>
      <c r="G14" s="1">
        <v>46247</v>
      </c>
      <c r="H14" t="s">
        <v>3</v>
      </c>
      <c r="I14" t="s">
        <v>4</v>
      </c>
      <c r="J14" t="s">
        <v>5</v>
      </c>
      <c r="K14" t="s">
        <v>6</v>
      </c>
      <c r="L14" t="s">
        <v>7</v>
      </c>
    </row>
    <row r="15" spans="1:12" x14ac:dyDescent="0.3">
      <c r="A15" t="str">
        <f>IF(COUNTIF(Sheet2!A:A,C15)&gt;0,"Ada","Tidak Ada")</f>
        <v>Ada</v>
      </c>
      <c r="B15" t="str">
        <f>IF(A15="Ada",IF(IFERROR(VLOOKUP(C15,Sheet2!A:C,2,FALSE),"")="",IFERROR(VLOOKUP(C15,Sheet2!A:C,3,FALSE),""),VLOOKUP(C15,Sheet2!A:C,2,FALSE)),"")</f>
        <v>Annisya Diaz Chandradewi, Dwi Dya Nindasari</v>
      </c>
      <c r="C15" s="2">
        <v>1571286979</v>
      </c>
      <c r="D15" t="s">
        <v>0</v>
      </c>
      <c r="E15" t="s">
        <v>32</v>
      </c>
      <c r="F15" t="s">
        <v>33</v>
      </c>
      <c r="G15" s="1">
        <v>46247</v>
      </c>
      <c r="H15" t="s">
        <v>3</v>
      </c>
      <c r="I15" t="s">
        <v>4</v>
      </c>
      <c r="J15" t="s">
        <v>5</v>
      </c>
      <c r="K15" t="s">
        <v>6</v>
      </c>
      <c r="L15" t="s">
        <v>7</v>
      </c>
    </row>
    <row r="16" spans="1:12" x14ac:dyDescent="0.3">
      <c r="A16" t="str">
        <f>IF(COUNTIF(Sheet2!A:A,C16)&gt;0,"Ada","Tidak Ada")</f>
        <v>Tidak Ada</v>
      </c>
      <c r="B16" t="str">
        <f>IF(A16="Ada",IF(IFERROR(VLOOKUP(C16,Sheet2!A:C,2,FALSE),"")="",IFERROR(VLOOKUP(C16,Sheet2!A:C,3,FALSE),""),VLOOKUP(C16,Sheet2!A:C,2,FALSE)),"")</f>
        <v/>
      </c>
      <c r="C16" s="2">
        <v>1571287902</v>
      </c>
      <c r="D16" t="s">
        <v>0</v>
      </c>
      <c r="E16" t="s">
        <v>34</v>
      </c>
      <c r="F16" t="s">
        <v>35</v>
      </c>
      <c r="G16" s="1">
        <v>46247</v>
      </c>
      <c r="H16" t="s">
        <v>3</v>
      </c>
      <c r="I16" t="s">
        <v>4</v>
      </c>
      <c r="J16" t="s">
        <v>5</v>
      </c>
      <c r="K16" t="s">
        <v>6</v>
      </c>
      <c r="L16" t="s">
        <v>7</v>
      </c>
    </row>
    <row r="17" spans="1:12" x14ac:dyDescent="0.3">
      <c r="A17" t="str">
        <f>IF(COUNTIF(Sheet2!A:A,C17)&gt;0,"Ada","Tidak Ada")</f>
        <v>Ada</v>
      </c>
      <c r="B17" t="str">
        <f>IF(A17="Ada",IF(IFERROR(VLOOKUP(C17,Sheet2!A:C,2,FALSE),"")="",IFERROR(VLOOKUP(C17,Sheet2!A:C,3,FALSE),""),VLOOKUP(C17,Sheet2!A:C,2,FALSE)),"")</f>
        <v>Kurnia Chairunnisa</v>
      </c>
      <c r="C17" s="2">
        <v>1571289829</v>
      </c>
      <c r="D17" t="s">
        <v>0</v>
      </c>
      <c r="E17" t="s">
        <v>36</v>
      </c>
      <c r="F17" t="s">
        <v>37</v>
      </c>
      <c r="G17" s="1">
        <v>46247</v>
      </c>
      <c r="H17" t="s">
        <v>3</v>
      </c>
      <c r="I17" t="s">
        <v>4</v>
      </c>
      <c r="J17" t="s">
        <v>5</v>
      </c>
      <c r="K17" t="s">
        <v>6</v>
      </c>
      <c r="L17" t="s">
        <v>7</v>
      </c>
    </row>
    <row r="18" spans="1:12" x14ac:dyDescent="0.3">
      <c r="A18" t="str">
        <f>IF(COUNTIF(Sheet2!A:A,C18)&gt;0,"Ada","Tidak Ada")</f>
        <v>Ada</v>
      </c>
      <c r="B18" t="str">
        <f>IF(A18="Ada",IF(IFERROR(VLOOKUP(C18,Sheet2!A:C,2,FALSE),"")="",IFERROR(VLOOKUP(C18,Sheet2!A:C,3,FALSE),""),VLOOKUP(C18,Sheet2!A:C,2,FALSE)),"")</f>
        <v>Afandi Sahputra, S.T., M.T.</v>
      </c>
      <c r="C18" s="2">
        <v>1571290388</v>
      </c>
      <c r="D18" t="s">
        <v>0</v>
      </c>
      <c r="E18" t="s">
        <v>38</v>
      </c>
      <c r="F18" t="s">
        <v>39</v>
      </c>
      <c r="G18" s="1">
        <v>46247</v>
      </c>
      <c r="H18" t="s">
        <v>3</v>
      </c>
      <c r="I18" t="s">
        <v>4</v>
      </c>
      <c r="J18" t="s">
        <v>5</v>
      </c>
      <c r="K18" t="s">
        <v>6</v>
      </c>
      <c r="L18" t="s">
        <v>7</v>
      </c>
    </row>
    <row r="19" spans="1:12" x14ac:dyDescent="0.3">
      <c r="A19" t="str">
        <f>IF(COUNTIF(Sheet2!A:A,C19)&gt;0,"Ada","Tidak Ada")</f>
        <v>Tidak Ada</v>
      </c>
      <c r="B19" t="str">
        <f>IF(A19="Ada",IF(IFERROR(VLOOKUP(C19,Sheet2!A:C,2,FALSE),"")="",IFERROR(VLOOKUP(C19,Sheet2!A:C,3,FALSE),""),VLOOKUP(C19,Sheet2!A:C,2,FALSE)),"")</f>
        <v/>
      </c>
      <c r="C19" s="2">
        <v>1571290492</v>
      </c>
      <c r="D19" t="s">
        <v>0</v>
      </c>
      <c r="E19" t="s">
        <v>40</v>
      </c>
      <c r="F19" t="s">
        <v>41</v>
      </c>
      <c r="G19" s="1">
        <v>46247</v>
      </c>
      <c r="H19" t="s">
        <v>3</v>
      </c>
      <c r="I19" t="s">
        <v>4</v>
      </c>
      <c r="J19" t="s">
        <v>5</v>
      </c>
      <c r="K19" t="s">
        <v>6</v>
      </c>
      <c r="L19" t="s">
        <v>7</v>
      </c>
    </row>
    <row r="20" spans="1:12" x14ac:dyDescent="0.3">
      <c r="A20" t="str">
        <f>IF(COUNTIF(Sheet2!A:A,C20)&gt;0,"Ada","Tidak Ada")</f>
        <v>Ada</v>
      </c>
      <c r="B20" t="str">
        <f>IF(A20="Ada",IF(IFERROR(VLOOKUP(C20,Sheet2!A:C,2,FALSE),"")="",IFERROR(VLOOKUP(C20,Sheet2!A:C,3,FALSE),""),VLOOKUP(C20,Sheet2!A:C,2,FALSE)),"")</f>
        <v>Albertus Andika Tri Anggoro</v>
      </c>
      <c r="C20" s="2">
        <v>1571290818</v>
      </c>
      <c r="D20" t="s">
        <v>0</v>
      </c>
      <c r="E20" t="s">
        <v>42</v>
      </c>
      <c r="F20" t="s">
        <v>43</v>
      </c>
      <c r="G20" s="1">
        <v>46247</v>
      </c>
      <c r="H20" t="s">
        <v>3</v>
      </c>
      <c r="I20" t="s">
        <v>4</v>
      </c>
      <c r="J20" t="s">
        <v>5</v>
      </c>
      <c r="K20" t="s">
        <v>6</v>
      </c>
      <c r="L20" t="s">
        <v>7</v>
      </c>
    </row>
    <row r="21" spans="1:12" x14ac:dyDescent="0.3">
      <c r="A21" t="str">
        <f>IF(COUNTIF(Sheet2!A:A,C21)&gt;0,"Ada","Tidak Ada")</f>
        <v>Tidak Ada</v>
      </c>
      <c r="B21" t="str">
        <f>IF(A21="Ada",IF(IFERROR(VLOOKUP(C21,Sheet2!A:C,2,FALSE),"")="",IFERROR(VLOOKUP(C21,Sheet2!A:C,3,FALSE),""),VLOOKUP(C21,Sheet2!A:C,2,FALSE)),"")</f>
        <v/>
      </c>
      <c r="C21" s="2">
        <v>1571291145</v>
      </c>
      <c r="D21" t="s">
        <v>0</v>
      </c>
      <c r="E21" t="s">
        <v>44</v>
      </c>
      <c r="F21" t="s">
        <v>45</v>
      </c>
      <c r="G21" s="1">
        <v>46247</v>
      </c>
      <c r="H21" t="s">
        <v>3</v>
      </c>
      <c r="I21" t="s">
        <v>4</v>
      </c>
      <c r="J21" t="s">
        <v>5</v>
      </c>
      <c r="K21" t="s">
        <v>6</v>
      </c>
      <c r="L21" t="s">
        <v>7</v>
      </c>
    </row>
    <row r="22" spans="1:12" x14ac:dyDescent="0.3">
      <c r="A22" t="str">
        <f>IF(COUNTIF(Sheet2!A:A,C22)&gt;0,"Ada","Tidak Ada")</f>
        <v>Tidak Ada</v>
      </c>
      <c r="B22" t="str">
        <f>IF(A22="Ada",IF(IFERROR(VLOOKUP(C22,Sheet2!A:C,2,FALSE),"")="",IFERROR(VLOOKUP(C22,Sheet2!A:C,3,FALSE),""),VLOOKUP(C22,Sheet2!A:C,2,FALSE)),"")</f>
        <v/>
      </c>
      <c r="C22" s="2">
        <v>1571291163</v>
      </c>
      <c r="D22" t="s">
        <v>0</v>
      </c>
      <c r="E22" t="s">
        <v>46</v>
      </c>
      <c r="F22" t="s">
        <v>47</v>
      </c>
      <c r="G22" s="1">
        <v>46247</v>
      </c>
      <c r="H22" t="s">
        <v>3</v>
      </c>
      <c r="I22" t="s">
        <v>4</v>
      </c>
      <c r="J22" t="s">
        <v>5</v>
      </c>
      <c r="K22" t="s">
        <v>6</v>
      </c>
      <c r="L22" t="s">
        <v>7</v>
      </c>
    </row>
    <row r="23" spans="1:12" x14ac:dyDescent="0.3">
      <c r="A23" t="str">
        <f>IF(COUNTIF(Sheet2!A:A,C23)&gt;0,"Ada","Tidak Ada")</f>
        <v>Ada</v>
      </c>
      <c r="B23" t="str">
        <f>IF(A23="Ada",IF(IFERROR(VLOOKUP(C23,Sheet2!A:C,2,FALSE),"")="",IFERROR(VLOOKUP(C23,Sheet2!A:C,3,FALSE),""),VLOOKUP(C23,Sheet2!A:C,2,FALSE)),"")</f>
        <v>Hamid Rahman, M.Kom.</v>
      </c>
      <c r="C23" s="2">
        <v>1571291272</v>
      </c>
      <c r="D23" t="s">
        <v>0</v>
      </c>
      <c r="E23" t="s">
        <v>48</v>
      </c>
      <c r="F23" t="s">
        <v>49</v>
      </c>
      <c r="G23" s="1">
        <v>46247</v>
      </c>
      <c r="H23" t="s">
        <v>3</v>
      </c>
      <c r="I23" t="s">
        <v>4</v>
      </c>
      <c r="J23" t="s">
        <v>5</v>
      </c>
      <c r="K23" t="s">
        <v>6</v>
      </c>
      <c r="L23" t="s">
        <v>7</v>
      </c>
    </row>
    <row r="24" spans="1:12" x14ac:dyDescent="0.3">
      <c r="A24" t="str">
        <f>IF(COUNTIF(Sheet2!A:A,C24)&gt;0,"Ada","Tidak Ada")</f>
        <v>Ada</v>
      </c>
      <c r="B24" t="str">
        <f>IF(A24="Ada",IF(IFERROR(VLOOKUP(C24,Sheet2!A:C,2,FALSE),"")="",IFERROR(VLOOKUP(C24,Sheet2!A:C,3,FALSE),""),VLOOKUP(C24,Sheet2!A:C,2,FALSE)),"")</f>
        <v>Putri Taqwa Prasetyaningrum</v>
      </c>
      <c r="C24" s="2">
        <v>1571291423</v>
      </c>
      <c r="D24" t="s">
        <v>0</v>
      </c>
      <c r="E24" t="s">
        <v>50</v>
      </c>
      <c r="F24" t="s">
        <v>51</v>
      </c>
      <c r="G24" s="1">
        <v>46247</v>
      </c>
      <c r="H24" t="s">
        <v>3</v>
      </c>
      <c r="I24" t="s">
        <v>4</v>
      </c>
      <c r="J24" t="s">
        <v>5</v>
      </c>
      <c r="K24" t="s">
        <v>6</v>
      </c>
      <c r="L24" t="s">
        <v>7</v>
      </c>
    </row>
    <row r="25" spans="1:12" x14ac:dyDescent="0.3">
      <c r="A25" t="str">
        <f>IF(COUNTIF(Sheet2!A:A,C25)&gt;0,"Ada","Tidak Ada")</f>
        <v>Ada</v>
      </c>
      <c r="B25" t="str">
        <f>IF(A25="Ada",IF(IFERROR(VLOOKUP(C25,Sheet2!A:C,2,FALSE),"")="",IFERROR(VLOOKUP(C25,Sheet2!A:C,3,FALSE),""),VLOOKUP(C25,Sheet2!A:C,2,FALSE)),"")</f>
        <v>Nanditya Vianti Putri</v>
      </c>
      <c r="C25" s="2">
        <v>1571291625</v>
      </c>
      <c r="D25" t="s">
        <v>0</v>
      </c>
      <c r="E25" t="s">
        <v>52</v>
      </c>
      <c r="F25" t="s">
        <v>53</v>
      </c>
      <c r="G25" s="1">
        <v>46247</v>
      </c>
      <c r="H25" t="s">
        <v>3</v>
      </c>
      <c r="I25" t="s">
        <v>4</v>
      </c>
      <c r="J25" t="s">
        <v>5</v>
      </c>
      <c r="K25" t="s">
        <v>6</v>
      </c>
      <c r="L25" t="s">
        <v>7</v>
      </c>
    </row>
    <row r="26" spans="1:12" x14ac:dyDescent="0.3">
      <c r="A26" t="str">
        <f>IF(COUNTIF(Sheet2!A:A,C26)&gt;0,"Ada","Tidak Ada")</f>
        <v>Ada</v>
      </c>
      <c r="B26" t="str">
        <f>IF(A26="Ada",IF(IFERROR(VLOOKUP(C26,Sheet2!A:C,2,FALSE),"")="",IFERROR(VLOOKUP(C26,Sheet2!A:C,3,FALSE),""),VLOOKUP(C26,Sheet2!A:C,2,FALSE)),"")</f>
        <v>: Juris Vassa Ivandro, S.Kom</v>
      </c>
      <c r="C26" s="2">
        <v>1571291638</v>
      </c>
      <c r="D26" t="s">
        <v>0</v>
      </c>
      <c r="E26" t="s">
        <v>54</v>
      </c>
      <c r="F26" t="s">
        <v>55</v>
      </c>
      <c r="G26" s="1">
        <v>46247</v>
      </c>
      <c r="H26" t="s">
        <v>3</v>
      </c>
      <c r="I26" t="s">
        <v>4</v>
      </c>
      <c r="J26" t="s">
        <v>5</v>
      </c>
      <c r="K26" t="s">
        <v>6</v>
      </c>
      <c r="L26" t="s">
        <v>7</v>
      </c>
    </row>
    <row r="27" spans="1:12" x14ac:dyDescent="0.3">
      <c r="A27" t="str">
        <f>IF(COUNTIF(Sheet2!A:A,C27)&gt;0,"Ada","Tidak Ada")</f>
        <v>Ada</v>
      </c>
      <c r="B27" t="str">
        <f>IF(A27="Ada",IF(IFERROR(VLOOKUP(C27,Sheet2!A:C,2,FALSE),"")="",IFERROR(VLOOKUP(C27,Sheet2!A:C,3,FALSE),""),VLOOKUP(C27,Sheet2!A:C,2,FALSE)),"")</f>
        <v>Anisa Dzulkarnain, S.Kom., M.Kom.</v>
      </c>
      <c r="C27" s="2">
        <v>1571291668</v>
      </c>
      <c r="D27" t="s">
        <v>0</v>
      </c>
      <c r="E27" t="s">
        <v>56</v>
      </c>
      <c r="F27" t="s">
        <v>57</v>
      </c>
      <c r="G27" s="1">
        <v>46247</v>
      </c>
      <c r="H27" t="s">
        <v>3</v>
      </c>
      <c r="I27" t="s">
        <v>4</v>
      </c>
      <c r="J27" t="s">
        <v>5</v>
      </c>
      <c r="K27" t="s">
        <v>6</v>
      </c>
      <c r="L27" t="s">
        <v>7</v>
      </c>
    </row>
    <row r="28" spans="1:12" x14ac:dyDescent="0.3">
      <c r="A28" t="str">
        <f>IF(COUNTIF(Sheet2!A:A,C28)&gt;0,"Ada","Tidak Ada")</f>
        <v>Tidak Ada</v>
      </c>
      <c r="B28" t="str">
        <f>IF(A28="Ada",IF(IFERROR(VLOOKUP(C28,Sheet2!A:C,2,FALSE),"")="",IFERROR(VLOOKUP(C28,Sheet2!A:C,3,FALSE),""),VLOOKUP(C28,Sheet2!A:C,2,FALSE)),"")</f>
        <v/>
      </c>
      <c r="C28" s="2">
        <v>1571291739</v>
      </c>
      <c r="D28" t="s">
        <v>0</v>
      </c>
      <c r="E28" t="s">
        <v>58</v>
      </c>
      <c r="F28" t="s">
        <v>59</v>
      </c>
      <c r="G28" s="1">
        <v>46247</v>
      </c>
      <c r="H28" t="s">
        <v>3</v>
      </c>
      <c r="I28" t="s">
        <v>4</v>
      </c>
      <c r="J28" t="s">
        <v>5</v>
      </c>
      <c r="K28" t="s">
        <v>6</v>
      </c>
      <c r="L28" t="s">
        <v>7</v>
      </c>
    </row>
    <row r="29" spans="1:12" x14ac:dyDescent="0.3">
      <c r="A29" t="str">
        <f>IF(COUNTIF(Sheet2!A:A,C29)&gt;0,"Ada","Tidak Ada")</f>
        <v>Tidak Ada</v>
      </c>
      <c r="B29" t="str">
        <f>IF(A29="Ada",IF(IFERROR(VLOOKUP(C29,Sheet2!A:C,2,FALSE),"")="",IFERROR(VLOOKUP(C29,Sheet2!A:C,3,FALSE),""),VLOOKUP(C29,Sheet2!A:C,2,FALSE)),"")</f>
        <v/>
      </c>
      <c r="C29" s="2">
        <v>1571291753</v>
      </c>
      <c r="D29" t="s">
        <v>0</v>
      </c>
      <c r="E29" t="s">
        <v>60</v>
      </c>
      <c r="F29" t="s">
        <v>61</v>
      </c>
      <c r="G29" s="1">
        <v>46247</v>
      </c>
      <c r="H29" t="s">
        <v>3</v>
      </c>
      <c r="I29" t="s">
        <v>4</v>
      </c>
      <c r="J29" t="s">
        <v>5</v>
      </c>
      <c r="K29" t="s">
        <v>6</v>
      </c>
      <c r="L29" t="s">
        <v>7</v>
      </c>
    </row>
    <row r="30" spans="1:12" x14ac:dyDescent="0.3">
      <c r="A30" t="str">
        <f>IF(COUNTIF(Sheet2!A:A,C30)&gt;0,"Ada","Tidak Ada")</f>
        <v>Tidak Ada</v>
      </c>
      <c r="B30" t="str">
        <f>IF(A30="Ada",IF(IFERROR(VLOOKUP(C30,Sheet2!A:C,2,FALSE),"")="",IFERROR(VLOOKUP(C30,Sheet2!A:C,3,FALSE),""),VLOOKUP(C30,Sheet2!A:C,2,FALSE)),"")</f>
        <v/>
      </c>
      <c r="C30" s="2">
        <v>1571291857</v>
      </c>
      <c r="D30" t="s">
        <v>0</v>
      </c>
      <c r="E30" t="s">
        <v>62</v>
      </c>
      <c r="F30" t="s">
        <v>63</v>
      </c>
      <c r="G30" s="1">
        <v>46247</v>
      </c>
      <c r="H30" t="s">
        <v>3</v>
      </c>
      <c r="I30" t="s">
        <v>4</v>
      </c>
      <c r="J30" t="s">
        <v>5</v>
      </c>
      <c r="K30" t="s">
        <v>6</v>
      </c>
      <c r="L30" t="s">
        <v>7</v>
      </c>
    </row>
    <row r="31" spans="1:12" x14ac:dyDescent="0.3">
      <c r="A31" t="str">
        <f>IF(COUNTIF(Sheet2!A:A,C31)&gt;0,"Ada","Tidak Ada")</f>
        <v>Ada</v>
      </c>
      <c r="B31" t="str">
        <f>IF(A31="Ada",IF(IFERROR(VLOOKUP(C31,Sheet2!A:C,2,FALSE),"")="",IFERROR(VLOOKUP(C31,Sheet2!A:C,3,FALSE),""),VLOOKUP(C31,Sheet2!A:C,2,FALSE)),"")</f>
        <v>SUGITO, S.Kom</v>
      </c>
      <c r="C31" s="2">
        <v>1571291877</v>
      </c>
      <c r="D31" t="s">
        <v>0</v>
      </c>
      <c r="E31" t="s">
        <v>64</v>
      </c>
      <c r="F31" t="s">
        <v>65</v>
      </c>
      <c r="G31" s="1">
        <v>46247</v>
      </c>
      <c r="H31" t="s">
        <v>3</v>
      </c>
      <c r="I31" t="s">
        <v>4</v>
      </c>
      <c r="J31" t="s">
        <v>5</v>
      </c>
      <c r="K31" t="s">
        <v>6</v>
      </c>
      <c r="L31" t="s">
        <v>7</v>
      </c>
    </row>
    <row r="32" spans="1:12" x14ac:dyDescent="0.3">
      <c r="A32" t="str">
        <f>IF(COUNTIF(Sheet2!A:A,C32)&gt;0,"Ada","Tidak Ada")</f>
        <v>Tidak Ada</v>
      </c>
      <c r="B32" t="str">
        <f>IF(A32="Ada",IF(IFERROR(VLOOKUP(C32,Sheet2!A:C,2,FALSE),"")="",IFERROR(VLOOKUP(C32,Sheet2!A:C,3,FALSE),""),VLOOKUP(C32,Sheet2!A:C,2,FALSE)),"")</f>
        <v/>
      </c>
      <c r="C32" s="2">
        <v>1571291893</v>
      </c>
      <c r="D32" t="s">
        <v>0</v>
      </c>
      <c r="E32" t="s">
        <v>66</v>
      </c>
      <c r="F32" t="s">
        <v>67</v>
      </c>
      <c r="G32" s="1">
        <v>46247</v>
      </c>
      <c r="H32" t="s">
        <v>3</v>
      </c>
      <c r="I32" t="s">
        <v>4</v>
      </c>
      <c r="J32" t="s">
        <v>5</v>
      </c>
      <c r="K32" t="s">
        <v>6</v>
      </c>
      <c r="L32" t="s">
        <v>7</v>
      </c>
    </row>
    <row r="33" spans="1:12" x14ac:dyDescent="0.3">
      <c r="A33" t="str">
        <f>IF(COUNTIF(Sheet2!A:A,C33)&gt;0,"Ada","Tidak Ada")</f>
        <v>Ada</v>
      </c>
      <c r="B33" t="str">
        <f>IF(A33="Ada",IF(IFERROR(VLOOKUP(C33,Sheet2!A:C,2,FALSE),"")="",IFERROR(VLOOKUP(C33,Sheet2!A:C,3,FALSE),""),VLOOKUP(C33,Sheet2!A:C,2,FALSE)),"")</f>
        <v>rais nurwahyudin</v>
      </c>
      <c r="C33" s="2">
        <v>1571291935</v>
      </c>
      <c r="D33" t="s">
        <v>0</v>
      </c>
      <c r="E33" t="s">
        <v>68</v>
      </c>
      <c r="F33" t="s">
        <v>69</v>
      </c>
      <c r="G33" s="1">
        <v>46247</v>
      </c>
      <c r="H33" t="s">
        <v>3</v>
      </c>
      <c r="I33" t="s">
        <v>4</v>
      </c>
      <c r="J33" t="s">
        <v>5</v>
      </c>
      <c r="K33" t="s">
        <v>6</v>
      </c>
      <c r="L33" t="s">
        <v>7</v>
      </c>
    </row>
    <row r="34" spans="1:12" x14ac:dyDescent="0.3">
      <c r="A34" t="str">
        <f>IF(COUNTIF(Sheet2!A:A,C34)&gt;0,"Ada","Tidak Ada")</f>
        <v>Tidak Ada</v>
      </c>
      <c r="B34" t="str">
        <f>IF(A34="Ada",IF(IFERROR(VLOOKUP(C34,Sheet2!A:C,2,FALSE),"")="",IFERROR(VLOOKUP(C34,Sheet2!A:C,3,FALSE),""),VLOOKUP(C34,Sheet2!A:C,2,FALSE)),"")</f>
        <v/>
      </c>
      <c r="C34" s="2">
        <v>1571292019</v>
      </c>
      <c r="D34" t="s">
        <v>0</v>
      </c>
      <c r="E34" t="s">
        <v>70</v>
      </c>
      <c r="F34" t="s">
        <v>71</v>
      </c>
      <c r="G34" s="1">
        <v>46247</v>
      </c>
      <c r="H34" t="s">
        <v>3</v>
      </c>
      <c r="I34" t="s">
        <v>4</v>
      </c>
      <c r="J34" t="s">
        <v>5</v>
      </c>
      <c r="K34" t="s">
        <v>6</v>
      </c>
      <c r="L34" t="s">
        <v>7</v>
      </c>
    </row>
    <row r="35" spans="1:12" x14ac:dyDescent="0.3">
      <c r="A35" t="str">
        <f>IF(COUNTIF(Sheet2!A:A,C35)&gt;0,"Ada","Tidak Ada")</f>
        <v>Tidak Ada</v>
      </c>
      <c r="B35" t="str">
        <f>IF(A35="Ada",IF(IFERROR(VLOOKUP(C35,Sheet2!A:C,2,FALSE),"")="",IFERROR(VLOOKUP(C35,Sheet2!A:C,3,FALSE),""),VLOOKUP(C35,Sheet2!A:C,2,FALSE)),"")</f>
        <v/>
      </c>
      <c r="C35" s="2">
        <v>1571292191</v>
      </c>
      <c r="D35" t="s">
        <v>0</v>
      </c>
      <c r="E35" t="s">
        <v>72</v>
      </c>
      <c r="F35" t="s">
        <v>73</v>
      </c>
      <c r="G35" s="1">
        <v>46247</v>
      </c>
      <c r="H35" t="s">
        <v>3</v>
      </c>
      <c r="I35" t="s">
        <v>4</v>
      </c>
      <c r="J35" t="s">
        <v>5</v>
      </c>
      <c r="K35" t="s">
        <v>6</v>
      </c>
      <c r="L35" t="s">
        <v>7</v>
      </c>
    </row>
    <row r="36" spans="1:12" x14ac:dyDescent="0.3">
      <c r="A36" t="str">
        <f>IF(COUNTIF(Sheet2!A:A,C36)&gt;0,"Ada","Tidak Ada")</f>
        <v>Tidak Ada</v>
      </c>
      <c r="B36" t="str">
        <f>IF(A36="Ada",IF(IFERROR(VLOOKUP(C36,Sheet2!A:C,2,FALSE),"")="",IFERROR(VLOOKUP(C36,Sheet2!A:C,3,FALSE),""),VLOOKUP(C36,Sheet2!A:C,2,FALSE)),"")</f>
        <v/>
      </c>
      <c r="C36" s="2">
        <v>1571292198</v>
      </c>
      <c r="D36" t="s">
        <v>0</v>
      </c>
      <c r="E36" t="s">
        <v>74</v>
      </c>
      <c r="F36" t="s">
        <v>75</v>
      </c>
      <c r="G36" s="1">
        <v>46247</v>
      </c>
      <c r="H36" t="s">
        <v>3</v>
      </c>
      <c r="I36" t="s">
        <v>4</v>
      </c>
      <c r="J36" t="s">
        <v>5</v>
      </c>
      <c r="K36" t="s">
        <v>6</v>
      </c>
      <c r="L36" t="s">
        <v>7</v>
      </c>
    </row>
    <row r="37" spans="1:12" x14ac:dyDescent="0.3">
      <c r="A37" t="str">
        <f>IF(COUNTIF(Sheet2!A:A,C37)&gt;0,"Ada","Tidak Ada")</f>
        <v>Tidak Ada</v>
      </c>
      <c r="B37" t="str">
        <f>IF(A37="Ada",IF(IFERROR(VLOOKUP(C37,Sheet2!A:C,2,FALSE),"")="",IFERROR(VLOOKUP(C37,Sheet2!A:C,3,FALSE),""),VLOOKUP(C37,Sheet2!A:C,2,FALSE)),"")</f>
        <v/>
      </c>
      <c r="C37" s="2">
        <v>1571292256</v>
      </c>
      <c r="D37" t="s">
        <v>0</v>
      </c>
      <c r="E37" t="s">
        <v>76</v>
      </c>
      <c r="F37" t="s">
        <v>77</v>
      </c>
      <c r="G37" s="1">
        <v>46247</v>
      </c>
      <c r="H37" t="s">
        <v>3</v>
      </c>
      <c r="I37" t="s">
        <v>4</v>
      </c>
      <c r="J37" t="s">
        <v>5</v>
      </c>
      <c r="K37" t="s">
        <v>6</v>
      </c>
      <c r="L37" t="s">
        <v>7</v>
      </c>
    </row>
    <row r="38" spans="1:12" x14ac:dyDescent="0.3">
      <c r="A38" t="str">
        <f>IF(COUNTIF(Sheet2!A:A,C38)&gt;0,"Ada","Tidak Ada")</f>
        <v>Tidak Ada</v>
      </c>
      <c r="B38" t="str">
        <f>IF(A38="Ada",IF(IFERROR(VLOOKUP(C38,Sheet2!A:C,2,FALSE),"")="",IFERROR(VLOOKUP(C38,Sheet2!A:C,3,FALSE),""),VLOOKUP(C38,Sheet2!A:C,2,FALSE)),"")</f>
        <v/>
      </c>
      <c r="C38" s="2">
        <v>1571292300</v>
      </c>
      <c r="D38" t="s">
        <v>0</v>
      </c>
      <c r="E38" t="s">
        <v>78</v>
      </c>
      <c r="F38" t="s">
        <v>79</v>
      </c>
      <c r="G38" s="1">
        <v>46247</v>
      </c>
      <c r="H38" t="s">
        <v>3</v>
      </c>
      <c r="I38" t="s">
        <v>4</v>
      </c>
      <c r="J38" t="s">
        <v>5</v>
      </c>
      <c r="K38" t="s">
        <v>6</v>
      </c>
      <c r="L38" t="s">
        <v>7</v>
      </c>
    </row>
    <row r="39" spans="1:12" x14ac:dyDescent="0.3">
      <c r="A39" t="str">
        <f>IF(COUNTIF(Sheet2!A:A,C39)&gt;0,"Ada","Tidak Ada")</f>
        <v>Tidak Ada</v>
      </c>
      <c r="B39" t="str">
        <f>IF(A39="Ada",IF(IFERROR(VLOOKUP(C39,Sheet2!A:C,2,FALSE),"")="",IFERROR(VLOOKUP(C39,Sheet2!A:C,3,FALSE),""),VLOOKUP(C39,Sheet2!A:C,2,FALSE)),"")</f>
        <v/>
      </c>
      <c r="C39" s="2">
        <v>1571292314</v>
      </c>
      <c r="D39" t="s">
        <v>0</v>
      </c>
      <c r="E39" t="s">
        <v>80</v>
      </c>
      <c r="F39" t="s">
        <v>81</v>
      </c>
      <c r="G39" s="1">
        <v>46247</v>
      </c>
      <c r="H39" t="s">
        <v>3</v>
      </c>
      <c r="I39" t="s">
        <v>4</v>
      </c>
      <c r="J39" t="s">
        <v>5</v>
      </c>
      <c r="K39" t="s">
        <v>6</v>
      </c>
      <c r="L39" t="s">
        <v>7</v>
      </c>
    </row>
    <row r="40" spans="1:12" x14ac:dyDescent="0.3">
      <c r="A40" t="str">
        <f>IF(COUNTIF(Sheet2!A:A,C40)&gt;0,"Ada","Tidak Ada")</f>
        <v>Ada</v>
      </c>
      <c r="B40" t="str">
        <f>IF(A40="Ada",IF(IFERROR(VLOOKUP(C40,Sheet2!A:C,2,FALSE),"")="",IFERROR(VLOOKUP(C40,Sheet2!A:C,3,FALSE),""),VLOOKUP(C40,Sheet2!A:C,2,FALSE)),"")</f>
        <v>Prof. Nathanael Sitanggang; Prof. Putri Lynna A. Luthan</v>
      </c>
      <c r="C40" s="2">
        <v>1571292356</v>
      </c>
      <c r="D40" t="s">
        <v>0</v>
      </c>
      <c r="E40" t="s">
        <v>82</v>
      </c>
      <c r="F40" t="s">
        <v>83</v>
      </c>
      <c r="G40" s="1">
        <v>46247</v>
      </c>
      <c r="H40" t="s">
        <v>3</v>
      </c>
      <c r="I40" t="s">
        <v>4</v>
      </c>
      <c r="J40" t="s">
        <v>5</v>
      </c>
      <c r="K40" t="s">
        <v>6</v>
      </c>
      <c r="L40" t="s">
        <v>7</v>
      </c>
    </row>
    <row r="41" spans="1:12" x14ac:dyDescent="0.3">
      <c r="A41" t="str">
        <f>IF(COUNTIF(Sheet2!A:A,C41)&gt;0,"Ada","Tidak Ada")</f>
        <v>Tidak Ada</v>
      </c>
      <c r="B41" t="str">
        <f>IF(A41="Ada",IF(IFERROR(VLOOKUP(C41,Sheet2!A:C,2,FALSE),"")="",IFERROR(VLOOKUP(C41,Sheet2!A:C,3,FALSE),""),VLOOKUP(C41,Sheet2!A:C,2,FALSE)),"")</f>
        <v/>
      </c>
      <c r="C41" s="2">
        <v>1571292389</v>
      </c>
      <c r="D41" t="s">
        <v>0</v>
      </c>
      <c r="E41" t="s">
        <v>84</v>
      </c>
      <c r="F41" t="s">
        <v>85</v>
      </c>
      <c r="G41" s="1">
        <v>46247</v>
      </c>
      <c r="H41" t="s">
        <v>3</v>
      </c>
      <c r="I41" t="s">
        <v>4</v>
      </c>
      <c r="J41" t="s">
        <v>5</v>
      </c>
      <c r="K41" t="s">
        <v>6</v>
      </c>
      <c r="L41" t="s">
        <v>7</v>
      </c>
    </row>
    <row r="42" spans="1:12" x14ac:dyDescent="0.3">
      <c r="A42" t="str">
        <f>IF(COUNTIF(Sheet2!A:A,C42)&gt;0,"Ada","Tidak Ada")</f>
        <v>Tidak Ada</v>
      </c>
      <c r="B42" t="str">
        <f>IF(A42="Ada",IF(IFERROR(VLOOKUP(C42,Sheet2!A:C,2,FALSE),"")="",IFERROR(VLOOKUP(C42,Sheet2!A:C,3,FALSE),""),VLOOKUP(C42,Sheet2!A:C,2,FALSE)),"")</f>
        <v/>
      </c>
      <c r="C42" s="2">
        <v>1571292412</v>
      </c>
      <c r="D42" t="s">
        <v>0</v>
      </c>
      <c r="E42" t="s">
        <v>86</v>
      </c>
      <c r="F42" t="s">
        <v>87</v>
      </c>
      <c r="G42" s="1">
        <v>46247</v>
      </c>
      <c r="H42" t="s">
        <v>3</v>
      </c>
      <c r="I42" t="s">
        <v>4</v>
      </c>
      <c r="J42" t="s">
        <v>5</v>
      </c>
      <c r="K42" t="s">
        <v>6</v>
      </c>
      <c r="L42" t="s">
        <v>7</v>
      </c>
    </row>
    <row r="43" spans="1:12" x14ac:dyDescent="0.3">
      <c r="A43" t="str">
        <f>IF(COUNTIF(Sheet2!A:A,C43)&gt;0,"Ada","Tidak Ada")</f>
        <v>Ada</v>
      </c>
      <c r="B43" t="str">
        <f>IF(A43="Ada",IF(IFERROR(VLOOKUP(C43,Sheet2!A:C,2,FALSE),"")="",IFERROR(VLOOKUP(C43,Sheet2!A:C,3,FALSE),""),VLOOKUP(C43,Sheet2!A:C,2,FALSE)),"")</f>
        <v>Sugeng Hari Wibowo</v>
      </c>
      <c r="C43" s="2">
        <v>1571292417</v>
      </c>
      <c r="D43" t="s">
        <v>0</v>
      </c>
      <c r="E43" t="s">
        <v>88</v>
      </c>
      <c r="F43" t="s">
        <v>89</v>
      </c>
      <c r="G43" s="1">
        <v>46247</v>
      </c>
      <c r="H43" t="s">
        <v>3</v>
      </c>
      <c r="I43" t="s">
        <v>4</v>
      </c>
      <c r="J43" t="s">
        <v>5</v>
      </c>
      <c r="K43" t="s">
        <v>6</v>
      </c>
      <c r="L43" t="s">
        <v>7</v>
      </c>
    </row>
    <row r="44" spans="1:12" x14ac:dyDescent="0.3">
      <c r="A44" t="str">
        <f>IF(COUNTIF(Sheet2!A:A,C44)&gt;0,"Ada","Tidak Ada")</f>
        <v>Ada</v>
      </c>
      <c r="B44" t="str">
        <f>IF(A44="Ada",IF(IFERROR(VLOOKUP(C44,Sheet2!A:C,2,FALSE),"")="",IFERROR(VLOOKUP(C44,Sheet2!A:C,3,FALSE),""),VLOOKUP(C44,Sheet2!A:C,2,FALSE)),"")</f>
        <v>Beny Prasetyo</v>
      </c>
      <c r="C44" s="2">
        <v>1571294926</v>
      </c>
      <c r="D44" t="s">
        <v>0</v>
      </c>
      <c r="E44" t="s">
        <v>90</v>
      </c>
      <c r="F44" t="s">
        <v>91</v>
      </c>
      <c r="G44" s="1">
        <v>46247</v>
      </c>
      <c r="H44" t="s">
        <v>3</v>
      </c>
      <c r="I44" t="s">
        <v>4</v>
      </c>
      <c r="J44" t="s">
        <v>5</v>
      </c>
      <c r="K44" t="s">
        <v>6</v>
      </c>
      <c r="L44" t="s">
        <v>7</v>
      </c>
    </row>
    <row r="45" spans="1:12" x14ac:dyDescent="0.3">
      <c r="A45" t="str">
        <f>IF(COUNTIF(Sheet2!A:A,C45)&gt;0,"Ada","Tidak Ada")</f>
        <v>Tidak Ada</v>
      </c>
      <c r="B45" t="str">
        <f>IF(A45="Ada",IF(IFERROR(VLOOKUP(C45,Sheet2!A:C,2,FALSE),"")="",IFERROR(VLOOKUP(C45,Sheet2!A:C,3,FALSE),""),VLOOKUP(C45,Sheet2!A:C,2,FALSE)),"")</f>
        <v/>
      </c>
      <c r="C45" s="2">
        <v>1571295664</v>
      </c>
      <c r="D45" t="s">
        <v>0</v>
      </c>
      <c r="E45" t="s">
        <v>92</v>
      </c>
      <c r="F45" t="s">
        <v>93</v>
      </c>
      <c r="G45" s="1">
        <v>46247</v>
      </c>
      <c r="H45" t="s">
        <v>3</v>
      </c>
      <c r="I45" t="s">
        <v>4</v>
      </c>
      <c r="J45" t="s">
        <v>5</v>
      </c>
      <c r="K45" t="s">
        <v>6</v>
      </c>
      <c r="L45" t="s">
        <v>7</v>
      </c>
    </row>
    <row r="46" spans="1:12" x14ac:dyDescent="0.3">
      <c r="A46" t="str">
        <f>IF(COUNTIF(Sheet2!A:A,C46)&gt;0,"Ada","Tidak Ada")</f>
        <v>Ada</v>
      </c>
      <c r="B46" t="str">
        <f>IF(A46="Ada",IF(IFERROR(VLOOKUP(C46,Sheet2!A:C,2,FALSE),"")="",IFERROR(VLOOKUP(C46,Sheet2!A:C,3,FALSE),""),VLOOKUP(C46,Sheet2!A:C,2,FALSE)),"")</f>
        <v>Maskur</v>
      </c>
      <c r="C46" s="2">
        <v>1571295713</v>
      </c>
      <c r="D46" t="s">
        <v>0</v>
      </c>
      <c r="E46" t="s">
        <v>94</v>
      </c>
      <c r="F46" t="s">
        <v>95</v>
      </c>
      <c r="G46" s="1">
        <v>46247</v>
      </c>
      <c r="H46" t="s">
        <v>3</v>
      </c>
      <c r="I46" t="s">
        <v>4</v>
      </c>
      <c r="J46" t="s">
        <v>5</v>
      </c>
      <c r="K46" t="s">
        <v>6</v>
      </c>
      <c r="L46" t="s">
        <v>7</v>
      </c>
    </row>
    <row r="47" spans="1:12" x14ac:dyDescent="0.3">
      <c r="A47" t="str">
        <f>IF(COUNTIF(Sheet2!A:A,C47)&gt;0,"Ada","Tidak Ada")</f>
        <v>Ada</v>
      </c>
      <c r="B47" t="str">
        <f>IF(A47="Ada",IF(IFERROR(VLOOKUP(C47,Sheet2!A:C,2,FALSE),"")="",IFERROR(VLOOKUP(C47,Sheet2!A:C,3,FALSE),""),VLOOKUP(C47,Sheet2!A:C,2,FALSE)),"")</f>
        <v>Fauziyah Wafa'Abdillah, S.Tr.T.</v>
      </c>
      <c r="C47" s="2">
        <v>1571296305</v>
      </c>
      <c r="D47" t="s">
        <v>0</v>
      </c>
      <c r="E47" t="s">
        <v>96</v>
      </c>
      <c r="F47" t="s">
        <v>97</v>
      </c>
      <c r="G47" s="1">
        <v>46247</v>
      </c>
      <c r="H47" t="s">
        <v>3</v>
      </c>
      <c r="I47" t="s">
        <v>4</v>
      </c>
      <c r="J47" t="s">
        <v>5</v>
      </c>
      <c r="K47" t="s">
        <v>6</v>
      </c>
      <c r="L47" t="s">
        <v>7</v>
      </c>
    </row>
    <row r="48" spans="1:12" x14ac:dyDescent="0.3">
      <c r="A48" t="str">
        <f>IF(COUNTIF(Sheet2!A:A,C48)&gt;0,"Ada","Tidak Ada")</f>
        <v>Tidak Ada</v>
      </c>
      <c r="B48" t="str">
        <f>IF(A48="Ada",IF(IFERROR(VLOOKUP(C48,Sheet2!A:C,2,FALSE),"")="",IFERROR(VLOOKUP(C48,Sheet2!A:C,3,FALSE),""),VLOOKUP(C48,Sheet2!A:C,2,FALSE)),"")</f>
        <v/>
      </c>
      <c r="C48" s="2">
        <v>1571296467</v>
      </c>
      <c r="D48" t="s">
        <v>0</v>
      </c>
      <c r="E48" t="s">
        <v>98</v>
      </c>
      <c r="F48" t="s">
        <v>99</v>
      </c>
      <c r="G48" s="1">
        <v>46247</v>
      </c>
      <c r="H48" t="s">
        <v>3</v>
      </c>
      <c r="I48" t="s">
        <v>4</v>
      </c>
      <c r="J48" t="s">
        <v>5</v>
      </c>
      <c r="K48" t="s">
        <v>6</v>
      </c>
      <c r="L48" t="s">
        <v>7</v>
      </c>
    </row>
    <row r="49" spans="1:12" x14ac:dyDescent="0.3">
      <c r="A49" t="str">
        <f>IF(COUNTIF(Sheet2!A:A,C49)&gt;0,"Ada","Tidak Ada")</f>
        <v>Tidak Ada</v>
      </c>
      <c r="B49" t="str">
        <f>IF(A49="Ada",IF(IFERROR(VLOOKUP(C49,Sheet2!A:C,2,FALSE),"")="",IFERROR(VLOOKUP(C49,Sheet2!A:C,3,FALSE),""),VLOOKUP(C49,Sheet2!A:C,2,FALSE)),"")</f>
        <v/>
      </c>
      <c r="C49" s="2">
        <v>1571296538</v>
      </c>
      <c r="D49" t="s">
        <v>0</v>
      </c>
      <c r="E49" t="s">
        <v>100</v>
      </c>
      <c r="F49" t="s">
        <v>101</v>
      </c>
      <c r="G49" s="1">
        <v>46247</v>
      </c>
      <c r="H49" t="s">
        <v>3</v>
      </c>
      <c r="I49" t="s">
        <v>4</v>
      </c>
      <c r="J49" t="s">
        <v>5</v>
      </c>
      <c r="K49" t="s">
        <v>6</v>
      </c>
      <c r="L49" t="s">
        <v>7</v>
      </c>
    </row>
    <row r="50" spans="1:12" x14ac:dyDescent="0.3">
      <c r="A50" t="str">
        <f>IF(COUNTIF(Sheet2!A:A,C50)&gt;0,"Ada","Tidak Ada")</f>
        <v>Tidak Ada</v>
      </c>
      <c r="B50" t="str">
        <f>IF(A50="Ada",IF(IFERROR(VLOOKUP(C50,Sheet2!A:C,2,FALSE),"")="",IFERROR(VLOOKUP(C50,Sheet2!A:C,3,FALSE),""),VLOOKUP(C50,Sheet2!A:C,2,FALSE)),"")</f>
        <v/>
      </c>
      <c r="C50" s="2">
        <v>1571296859</v>
      </c>
      <c r="D50" t="s">
        <v>0</v>
      </c>
      <c r="E50" t="s">
        <v>102</v>
      </c>
      <c r="F50" t="s">
        <v>103</v>
      </c>
      <c r="G50" s="1">
        <v>46247</v>
      </c>
      <c r="H50" t="s">
        <v>3</v>
      </c>
      <c r="I50" t="s">
        <v>4</v>
      </c>
      <c r="J50" t="s">
        <v>5</v>
      </c>
      <c r="K50" t="s">
        <v>6</v>
      </c>
      <c r="L50" t="s">
        <v>7</v>
      </c>
    </row>
    <row r="51" spans="1:12" x14ac:dyDescent="0.3">
      <c r="A51" t="str">
        <f>IF(COUNTIF(Sheet2!A:A,C51)&gt;0,"Ada","Tidak Ada")</f>
        <v>Ada</v>
      </c>
      <c r="B51" t="str">
        <f>IF(A51="Ada",IF(IFERROR(VLOOKUP(C51,Sheet2!A:C,2,FALSE),"")="",IFERROR(VLOOKUP(C51,Sheet2!A:C,3,FALSE),""),VLOOKUP(C51,Sheet2!A:C,2,FALSE)),"")</f>
        <v>Putri Christianti Harefa</v>
      </c>
      <c r="C51" s="2">
        <v>1571297897</v>
      </c>
      <c r="D51" t="s">
        <v>0</v>
      </c>
      <c r="E51" t="s">
        <v>104</v>
      </c>
      <c r="F51" t="s">
        <v>105</v>
      </c>
      <c r="G51" s="1">
        <v>46247</v>
      </c>
      <c r="H51" t="s">
        <v>3</v>
      </c>
      <c r="I51" t="s">
        <v>4</v>
      </c>
      <c r="J51" t="s">
        <v>5</v>
      </c>
      <c r="K51" t="s">
        <v>6</v>
      </c>
      <c r="L51" t="s">
        <v>7</v>
      </c>
    </row>
    <row r="52" spans="1:12" x14ac:dyDescent="0.3">
      <c r="A52" t="str">
        <f>IF(COUNTIF(Sheet2!A:A,C52)&gt;0,"Ada","Tidak Ada")</f>
        <v>Ada</v>
      </c>
      <c r="B52" t="str">
        <f>IF(A52="Ada",IF(IFERROR(VLOOKUP(C52,Sheet2!A:C,2,FALSE),"")="",IFERROR(VLOOKUP(C52,Sheet2!A:C,3,FALSE),""),VLOOKUP(C52,Sheet2!A:C,2,FALSE)),"")</f>
        <v>Stephanie Debora Assa</v>
      </c>
      <c r="C52" s="2">
        <v>1571298038</v>
      </c>
      <c r="D52" t="s">
        <v>0</v>
      </c>
      <c r="E52" t="s">
        <v>106</v>
      </c>
      <c r="F52" t="s">
        <v>107</v>
      </c>
      <c r="G52" s="1">
        <v>46247</v>
      </c>
      <c r="H52" t="s">
        <v>3</v>
      </c>
      <c r="I52" t="s">
        <v>4</v>
      </c>
      <c r="J52" t="s">
        <v>5</v>
      </c>
      <c r="K52" t="s">
        <v>6</v>
      </c>
      <c r="L52" t="s">
        <v>7</v>
      </c>
    </row>
    <row r="53" spans="1:12" x14ac:dyDescent="0.3">
      <c r="A53" t="str">
        <f>IF(COUNTIF(Sheet2!A:A,C53)&gt;0,"Ada","Tidak Ada")</f>
        <v>Ada</v>
      </c>
      <c r="B53" t="str">
        <f>IF(A53="Ada",IF(IFERROR(VLOOKUP(C53,Sheet2!A:C,2,FALSE),"")="",IFERROR(VLOOKUP(C53,Sheet2!A:C,3,FALSE),""),VLOOKUP(C53,Sheet2!A:C,2,FALSE)),"")</f>
        <v>Veldin A. Talorete Jr.</v>
      </c>
      <c r="C53" s="2">
        <v>1571298045</v>
      </c>
      <c r="D53" t="s">
        <v>0</v>
      </c>
      <c r="E53" t="s">
        <v>108</v>
      </c>
      <c r="F53" t="s">
        <v>109</v>
      </c>
      <c r="G53" s="1">
        <v>46247</v>
      </c>
      <c r="H53" t="s">
        <v>3</v>
      </c>
      <c r="I53" t="s">
        <v>4</v>
      </c>
      <c r="J53" t="s">
        <v>5</v>
      </c>
      <c r="K53" t="s">
        <v>6</v>
      </c>
      <c r="L53" t="s">
        <v>7</v>
      </c>
    </row>
    <row r="54" spans="1:12" x14ac:dyDescent="0.3">
      <c r="A54" t="str">
        <f>IF(COUNTIF(Sheet2!A:A,C54)&gt;0,"Ada","Tidak Ada")</f>
        <v>Ada</v>
      </c>
      <c r="B54" t="str">
        <f>IF(A54="Ada",IF(IFERROR(VLOOKUP(C54,Sheet2!A:C,2,FALSE),"")="",IFERROR(VLOOKUP(C54,Sheet2!A:C,3,FALSE),""),VLOOKUP(C54,Sheet2!A:C,2,FALSE)),"")</f>
        <v>Ramadhani Vanva Fauzia</v>
      </c>
      <c r="C54" s="2">
        <v>1571298209</v>
      </c>
      <c r="D54" t="s">
        <v>0</v>
      </c>
      <c r="E54" t="s">
        <v>110</v>
      </c>
      <c r="F54" t="s">
        <v>111</v>
      </c>
      <c r="G54" s="1">
        <v>46247</v>
      </c>
      <c r="H54" t="s">
        <v>3</v>
      </c>
      <c r="I54" t="s">
        <v>4</v>
      </c>
      <c r="J54" t="s">
        <v>5</v>
      </c>
      <c r="K54" t="s">
        <v>6</v>
      </c>
      <c r="L54" t="s">
        <v>7</v>
      </c>
    </row>
    <row r="55" spans="1:12" x14ac:dyDescent="0.3">
      <c r="A55" t="str">
        <f>IF(COUNTIF(Sheet2!A:A,C55)&gt;0,"Ada","Tidak Ada")</f>
        <v>Tidak Ada</v>
      </c>
      <c r="B55" t="str">
        <f>IF(A55="Ada",IF(IFERROR(VLOOKUP(C55,Sheet2!A:C,2,FALSE),"")="",IFERROR(VLOOKUP(C55,Sheet2!A:C,3,FALSE),""),VLOOKUP(C55,Sheet2!A:C,2,FALSE)),"")</f>
        <v/>
      </c>
      <c r="C55" s="2">
        <v>1571298211</v>
      </c>
      <c r="D55" t="s">
        <v>0</v>
      </c>
      <c r="E55" t="s">
        <v>112</v>
      </c>
      <c r="F55" t="s">
        <v>113</v>
      </c>
      <c r="G55" s="1">
        <v>46247</v>
      </c>
      <c r="H55" t="s">
        <v>3</v>
      </c>
      <c r="I55" t="s">
        <v>4</v>
      </c>
      <c r="J55" t="s">
        <v>5</v>
      </c>
      <c r="K55" t="s">
        <v>6</v>
      </c>
      <c r="L55" t="s">
        <v>7</v>
      </c>
    </row>
    <row r="56" spans="1:12" x14ac:dyDescent="0.3">
      <c r="A56" t="str">
        <f>IF(COUNTIF(Sheet2!A:A,C56)&gt;0,"Ada","Tidak Ada")</f>
        <v>Ada</v>
      </c>
      <c r="B56" t="str">
        <f>IF(A56="Ada",IF(IFERROR(VLOOKUP(C56,Sheet2!A:C,2,FALSE),"")="",IFERROR(VLOOKUP(C56,Sheet2!A:C,3,FALSE),""),VLOOKUP(C56,Sheet2!A:C,2,FALSE)),"")</f>
        <v>Mifta Nur Farid</v>
      </c>
      <c r="C56" s="2">
        <v>1571298278</v>
      </c>
      <c r="D56" t="s">
        <v>0</v>
      </c>
      <c r="E56" t="s">
        <v>114</v>
      </c>
      <c r="F56" t="s">
        <v>115</v>
      </c>
      <c r="G56" s="1">
        <v>46247</v>
      </c>
      <c r="H56" t="s">
        <v>3</v>
      </c>
      <c r="I56" t="s">
        <v>4</v>
      </c>
      <c r="J56" t="s">
        <v>5</v>
      </c>
      <c r="K56" t="s">
        <v>6</v>
      </c>
      <c r="L56" t="s">
        <v>7</v>
      </c>
    </row>
    <row r="57" spans="1:12" x14ac:dyDescent="0.3">
      <c r="A57" t="str">
        <f>IF(COUNTIF(Sheet2!A:A,C57)&gt;0,"Ada","Tidak Ada")</f>
        <v>Tidak Ada</v>
      </c>
      <c r="B57" t="str">
        <f>IF(A57="Ada",IF(IFERROR(VLOOKUP(C57,Sheet2!A:C,2,FALSE),"")="",IFERROR(VLOOKUP(C57,Sheet2!A:C,3,FALSE),""),VLOOKUP(C57,Sheet2!A:C,2,FALSE)),"")</f>
        <v/>
      </c>
      <c r="C57" s="2">
        <v>1571298336</v>
      </c>
      <c r="D57" t="s">
        <v>0</v>
      </c>
      <c r="E57" t="s">
        <v>116</v>
      </c>
      <c r="F57" t="s">
        <v>117</v>
      </c>
      <c r="G57" s="1">
        <v>46247</v>
      </c>
      <c r="H57" t="s">
        <v>3</v>
      </c>
      <c r="I57" t="s">
        <v>4</v>
      </c>
      <c r="J57" t="s">
        <v>5</v>
      </c>
      <c r="K57" t="s">
        <v>6</v>
      </c>
      <c r="L57" t="s">
        <v>7</v>
      </c>
    </row>
    <row r="58" spans="1:12" x14ac:dyDescent="0.3">
      <c r="A58" t="str">
        <f>IF(COUNTIF(Sheet2!A:A,C58)&gt;0,"Ada","Tidak Ada")</f>
        <v>Tidak Ada</v>
      </c>
      <c r="B58" t="str">
        <f>IF(A58="Ada",IF(IFERROR(VLOOKUP(C58,Sheet2!A:C,2,FALSE),"")="",IFERROR(VLOOKUP(C58,Sheet2!A:C,3,FALSE),""),VLOOKUP(C58,Sheet2!A:C,2,FALSE)),"")</f>
        <v/>
      </c>
      <c r="C58" s="2">
        <v>1571298391</v>
      </c>
      <c r="D58" t="s">
        <v>0</v>
      </c>
      <c r="E58" t="s">
        <v>118</v>
      </c>
      <c r="F58" t="s">
        <v>119</v>
      </c>
      <c r="G58" s="1">
        <v>46247</v>
      </c>
      <c r="H58" t="s">
        <v>3</v>
      </c>
      <c r="I58" t="s">
        <v>4</v>
      </c>
      <c r="J58" t="s">
        <v>5</v>
      </c>
      <c r="K58" t="s">
        <v>6</v>
      </c>
      <c r="L58" t="s">
        <v>7</v>
      </c>
    </row>
    <row r="59" spans="1:12" x14ac:dyDescent="0.3">
      <c r="A59" t="str">
        <f>IF(COUNTIF(Sheet2!A:A,C59)&gt;0,"Ada","Tidak Ada")</f>
        <v>Ada</v>
      </c>
      <c r="B59" t="str">
        <f>IF(A59="Ada",IF(IFERROR(VLOOKUP(C59,Sheet2!A:C,2,FALSE),"")="",IFERROR(VLOOKUP(C59,Sheet2!A:C,3,FALSE),""),VLOOKUP(C59,Sheet2!A:C,2,FALSE)),"")</f>
        <v>Aditya Sheva Pratama</v>
      </c>
      <c r="C59" s="2">
        <v>1571298458</v>
      </c>
      <c r="D59" t="s">
        <v>0</v>
      </c>
      <c r="E59" t="s">
        <v>120</v>
      </c>
      <c r="F59" t="s">
        <v>121</v>
      </c>
      <c r="G59" s="1">
        <v>46247</v>
      </c>
      <c r="H59" t="s">
        <v>3</v>
      </c>
      <c r="I59" t="s">
        <v>4</v>
      </c>
      <c r="J59" t="s">
        <v>5</v>
      </c>
      <c r="K59" t="s">
        <v>6</v>
      </c>
      <c r="L59" t="s">
        <v>7</v>
      </c>
    </row>
    <row r="60" spans="1:12" x14ac:dyDescent="0.3">
      <c r="A60" t="str">
        <f>IF(COUNTIF(Sheet2!A:A,C60)&gt;0,"Ada","Tidak Ada")</f>
        <v>Tidak Ada</v>
      </c>
      <c r="B60" t="str">
        <f>IF(A60="Ada",IF(IFERROR(VLOOKUP(C60,Sheet2!A:C,2,FALSE),"")="",IFERROR(VLOOKUP(C60,Sheet2!A:C,3,FALSE),""),VLOOKUP(C60,Sheet2!A:C,2,FALSE)),"")</f>
        <v/>
      </c>
      <c r="C60" s="2">
        <v>1571298491</v>
      </c>
      <c r="D60" t="s">
        <v>0</v>
      </c>
      <c r="E60" t="s">
        <v>122</v>
      </c>
      <c r="F60" t="s">
        <v>123</v>
      </c>
      <c r="G60" s="1">
        <v>46247</v>
      </c>
      <c r="H60" t="s">
        <v>3</v>
      </c>
      <c r="I60" t="s">
        <v>4</v>
      </c>
      <c r="J60" t="s">
        <v>5</v>
      </c>
      <c r="K60" t="s">
        <v>6</v>
      </c>
      <c r="L60" t="s">
        <v>7</v>
      </c>
    </row>
    <row r="61" spans="1:12" x14ac:dyDescent="0.3">
      <c r="A61" t="str">
        <f>IF(COUNTIF(Sheet2!A:A,C61)&gt;0,"Ada","Tidak Ada")</f>
        <v>Tidak Ada</v>
      </c>
      <c r="B61" t="str">
        <f>IF(A61="Ada",IF(IFERROR(VLOOKUP(C61,Sheet2!A:C,2,FALSE),"")="",IFERROR(VLOOKUP(C61,Sheet2!A:C,3,FALSE),""),VLOOKUP(C61,Sheet2!A:C,2,FALSE)),"")</f>
        <v/>
      </c>
      <c r="C61" s="2">
        <v>1571298535</v>
      </c>
      <c r="D61" t="s">
        <v>0</v>
      </c>
      <c r="E61" t="s">
        <v>124</v>
      </c>
      <c r="F61" t="s">
        <v>125</v>
      </c>
      <c r="G61" s="1">
        <v>46247</v>
      </c>
      <c r="H61" t="s">
        <v>3</v>
      </c>
      <c r="I61" t="s">
        <v>4</v>
      </c>
      <c r="J61" t="s">
        <v>5</v>
      </c>
      <c r="K61" t="s">
        <v>6</v>
      </c>
      <c r="L61" t="s">
        <v>7</v>
      </c>
    </row>
    <row r="62" spans="1:12" x14ac:dyDescent="0.3">
      <c r="A62" t="str">
        <f>IF(COUNTIF(Sheet2!A:A,C62)&gt;0,"Ada","Tidak Ada")</f>
        <v>Tidak Ada</v>
      </c>
      <c r="B62" t="str">
        <f>IF(A62="Ada",IF(IFERROR(VLOOKUP(C62,Sheet2!A:C,2,FALSE),"")="",IFERROR(VLOOKUP(C62,Sheet2!A:C,3,FALSE),""),VLOOKUP(C62,Sheet2!A:C,2,FALSE)),"")</f>
        <v/>
      </c>
      <c r="C62" s="2">
        <v>1571298550</v>
      </c>
      <c r="D62" t="s">
        <v>0</v>
      </c>
      <c r="E62" t="s">
        <v>126</v>
      </c>
      <c r="F62" t="s">
        <v>127</v>
      </c>
      <c r="G62" s="1">
        <v>46247</v>
      </c>
      <c r="H62" t="s">
        <v>3</v>
      </c>
      <c r="I62" t="s">
        <v>4</v>
      </c>
      <c r="J62" t="s">
        <v>5</v>
      </c>
      <c r="K62" t="s">
        <v>6</v>
      </c>
      <c r="L62" t="s">
        <v>7</v>
      </c>
    </row>
    <row r="63" spans="1:12" x14ac:dyDescent="0.3">
      <c r="A63" t="str">
        <f>IF(COUNTIF(Sheet2!A:A,C63)&gt;0,"Ada","Tidak Ada")</f>
        <v>Ada</v>
      </c>
      <c r="B63" t="str">
        <f>IF(A63="Ada",IF(IFERROR(VLOOKUP(C63,Sheet2!A:C,2,FALSE),"")="",IFERROR(VLOOKUP(C63,Sheet2!A:C,3,FALSE),""),VLOOKUP(C63,Sheet2!A:C,2,FALSE)),"")</f>
        <v>Nurwahid Rahman</v>
      </c>
      <c r="C63" s="2">
        <v>1571298558</v>
      </c>
      <c r="D63" t="s">
        <v>0</v>
      </c>
      <c r="E63" t="s">
        <v>128</v>
      </c>
      <c r="F63" t="s">
        <v>129</v>
      </c>
      <c r="G63" s="1">
        <v>46247</v>
      </c>
      <c r="H63" t="s">
        <v>3</v>
      </c>
      <c r="I63" t="s">
        <v>4</v>
      </c>
      <c r="J63" t="s">
        <v>5</v>
      </c>
      <c r="K63" t="s">
        <v>6</v>
      </c>
      <c r="L63" t="s">
        <v>7</v>
      </c>
    </row>
    <row r="64" spans="1:12" x14ac:dyDescent="0.3">
      <c r="A64" t="str">
        <f>IF(COUNTIF(Sheet2!A:A,C64)&gt;0,"Ada","Tidak Ada")</f>
        <v>Tidak Ada</v>
      </c>
      <c r="B64" t="str">
        <f>IF(A64="Ada",IF(IFERROR(VLOOKUP(C64,Sheet2!A:C,2,FALSE),"")="",IFERROR(VLOOKUP(C64,Sheet2!A:C,3,FALSE),""),VLOOKUP(C64,Sheet2!A:C,2,FALSE)),"")</f>
        <v/>
      </c>
      <c r="C64" s="2">
        <v>1571298670</v>
      </c>
      <c r="D64" t="s">
        <v>0</v>
      </c>
      <c r="E64" t="s">
        <v>130</v>
      </c>
      <c r="F64" t="s">
        <v>131</v>
      </c>
      <c r="G64" s="1">
        <v>46247</v>
      </c>
      <c r="H64" t="s">
        <v>3</v>
      </c>
      <c r="I64" t="s">
        <v>4</v>
      </c>
      <c r="J64" t="s">
        <v>5</v>
      </c>
      <c r="K64" t="s">
        <v>6</v>
      </c>
      <c r="L64" t="s">
        <v>7</v>
      </c>
    </row>
    <row r="65" spans="1:12" x14ac:dyDescent="0.3">
      <c r="A65" t="str">
        <f>IF(COUNTIF(Sheet2!A:A,C65)&gt;0,"Ada","Tidak Ada")</f>
        <v>Tidak Ada</v>
      </c>
      <c r="B65" t="str">
        <f>IF(A65="Ada",IF(IFERROR(VLOOKUP(C65,Sheet2!A:C,2,FALSE),"")="",IFERROR(VLOOKUP(C65,Sheet2!A:C,3,FALSE),""),VLOOKUP(C65,Sheet2!A:C,2,FALSE)),"")</f>
        <v/>
      </c>
      <c r="C65" s="2">
        <v>1571298839</v>
      </c>
      <c r="D65" t="s">
        <v>0</v>
      </c>
      <c r="E65" t="s">
        <v>132</v>
      </c>
      <c r="F65" t="s">
        <v>133</v>
      </c>
      <c r="G65" s="1">
        <v>46247</v>
      </c>
      <c r="H65" t="s">
        <v>3</v>
      </c>
      <c r="I65" t="s">
        <v>4</v>
      </c>
      <c r="J65" t="s">
        <v>5</v>
      </c>
      <c r="K65" t="s">
        <v>6</v>
      </c>
      <c r="L65" t="s">
        <v>7</v>
      </c>
    </row>
    <row r="66" spans="1:12" x14ac:dyDescent="0.3">
      <c r="A66" t="str">
        <f>IF(COUNTIF(Sheet2!A:A,C66)&gt;0,"Ada","Tidak Ada")</f>
        <v>Ada</v>
      </c>
      <c r="B66" t="str">
        <f>IF(A66="Ada",IF(IFERROR(VLOOKUP(C66,Sheet2!A:C,2,FALSE),"")="",IFERROR(VLOOKUP(C66,Sheet2!A:C,3,FALSE),""),VLOOKUP(C66,Sheet2!A:C,2,FALSE)),"")</f>
        <v>Eric Julianto</v>
      </c>
      <c r="C66" s="2">
        <v>1571298976</v>
      </c>
      <c r="D66" t="s">
        <v>0</v>
      </c>
      <c r="E66" t="s">
        <v>134</v>
      </c>
      <c r="F66" t="s">
        <v>135</v>
      </c>
      <c r="G66" s="1">
        <v>46247</v>
      </c>
      <c r="H66" t="s">
        <v>3</v>
      </c>
      <c r="I66" t="s">
        <v>4</v>
      </c>
      <c r="J66" t="s">
        <v>5</v>
      </c>
      <c r="K66" t="s">
        <v>6</v>
      </c>
      <c r="L66" t="s">
        <v>7</v>
      </c>
    </row>
    <row r="67" spans="1:12" x14ac:dyDescent="0.3">
      <c r="A67" t="str">
        <f>IF(COUNTIF(Sheet2!A:A,C67)&gt;0,"Ada","Tidak Ada")</f>
        <v>Tidak Ada</v>
      </c>
      <c r="B67" t="str">
        <f>IF(A67="Ada",IF(IFERROR(VLOOKUP(C67,Sheet2!A:C,2,FALSE),"")="",IFERROR(VLOOKUP(C67,Sheet2!A:C,3,FALSE),""),VLOOKUP(C67,Sheet2!A:C,2,FALSE)),"")</f>
        <v/>
      </c>
      <c r="C67" s="2">
        <v>1571299336</v>
      </c>
      <c r="D67" t="s">
        <v>0</v>
      </c>
      <c r="E67" t="s">
        <v>136</v>
      </c>
      <c r="F67" t="s">
        <v>137</v>
      </c>
      <c r="G67" s="1">
        <v>46247</v>
      </c>
      <c r="H67" t="s">
        <v>3</v>
      </c>
      <c r="I67" t="s">
        <v>4</v>
      </c>
      <c r="J67" t="s">
        <v>5</v>
      </c>
      <c r="K67" t="s">
        <v>6</v>
      </c>
      <c r="L67" t="s">
        <v>7</v>
      </c>
    </row>
    <row r="68" spans="1:12" x14ac:dyDescent="0.3">
      <c r="A68" t="str">
        <f>IF(COUNTIF(Sheet2!A:A,C68)&gt;0,"Ada","Tidak Ada")</f>
        <v>Ada</v>
      </c>
      <c r="B68" t="str">
        <f>IF(A68="Ada",IF(IFERROR(VLOOKUP(C68,Sheet2!A:C,2,FALSE),"")="",IFERROR(VLOOKUP(C68,Sheet2!A:C,3,FALSE),""),VLOOKUP(C68,Sheet2!A:C,2,FALSE)),"")</f>
        <v>Mohammad Noer Dafiq</v>
      </c>
      <c r="C68" s="2">
        <v>1571300264</v>
      </c>
      <c r="D68" t="s">
        <v>0</v>
      </c>
      <c r="E68" t="s">
        <v>138</v>
      </c>
      <c r="F68" t="s">
        <v>139</v>
      </c>
      <c r="G68" s="1">
        <v>46247</v>
      </c>
      <c r="H68" t="s">
        <v>3</v>
      </c>
      <c r="I68" t="s">
        <v>4</v>
      </c>
      <c r="J68" t="s">
        <v>5</v>
      </c>
      <c r="K68" t="s">
        <v>6</v>
      </c>
      <c r="L68" t="s">
        <v>7</v>
      </c>
    </row>
    <row r="69" spans="1:12" x14ac:dyDescent="0.3">
      <c r="A69" t="str">
        <f>IF(COUNTIF(Sheet2!A:A,C69)&gt;0,"Ada","Tidak Ada")</f>
        <v>Ada</v>
      </c>
      <c r="B69" t="str">
        <f>IF(A69="Ada",IF(IFERROR(VLOOKUP(C69,Sheet2!A:C,2,FALSE),"")="",IFERROR(VLOOKUP(C69,Sheet2!A:C,3,FALSE),""),VLOOKUP(C69,Sheet2!A:C,2,FALSE)),"")</f>
        <v>Eko Puji Laksono, S.Kom.,M.Kom</v>
      </c>
      <c r="C69" s="2">
        <v>1571300636</v>
      </c>
      <c r="D69" t="s">
        <v>0</v>
      </c>
      <c r="E69" t="s">
        <v>140</v>
      </c>
      <c r="F69" t="s">
        <v>141</v>
      </c>
      <c r="G69" s="1">
        <v>46247</v>
      </c>
      <c r="H69" t="s">
        <v>3</v>
      </c>
      <c r="I69" t="s">
        <v>4</v>
      </c>
      <c r="J69" t="s">
        <v>5</v>
      </c>
      <c r="K69" t="s">
        <v>6</v>
      </c>
      <c r="L69" t="s">
        <v>7</v>
      </c>
    </row>
    <row r="70" spans="1:12" x14ac:dyDescent="0.3">
      <c r="A70" t="str">
        <f>IF(COUNTIF(Sheet2!A:A,C70)&gt;0,"Ada","Tidak Ada")</f>
        <v>Ada</v>
      </c>
      <c r="B70" t="str">
        <f>IF(A70="Ada",IF(IFERROR(VLOOKUP(C70,Sheet2!A:C,2,FALSE),"")="",IFERROR(VLOOKUP(C70,Sheet2!A:C,3,FALSE),""),VLOOKUP(C70,Sheet2!A:C,2,FALSE)),"")</f>
        <v>DAVE SHANNA MARIE E. GIGAWIN &amp; JOHN PAUL L. ULLEGUE</v>
      </c>
      <c r="C70" s="2">
        <v>1571300706</v>
      </c>
      <c r="D70" t="s">
        <v>0</v>
      </c>
      <c r="E70" t="s">
        <v>142</v>
      </c>
      <c r="F70" t="s">
        <v>143</v>
      </c>
      <c r="G70" s="1">
        <v>46247</v>
      </c>
      <c r="H70" t="s">
        <v>3</v>
      </c>
      <c r="I70" t="s">
        <v>4</v>
      </c>
      <c r="J70" t="s">
        <v>5</v>
      </c>
      <c r="K70" t="s">
        <v>6</v>
      </c>
      <c r="L70" t="s">
        <v>7</v>
      </c>
    </row>
    <row r="71" spans="1:12" x14ac:dyDescent="0.3">
      <c r="A71" t="str">
        <f>IF(COUNTIF(Sheet2!A:A,C71)&gt;0,"Ada","Tidak Ada")</f>
        <v>Ada</v>
      </c>
      <c r="B71" t="str">
        <f>IF(A71="Ada",IF(IFERROR(VLOOKUP(C71,Sheet2!A:C,2,FALSE),"")="",IFERROR(VLOOKUP(C71,Sheet2!A:C,3,FALSE),""),VLOOKUP(C71,Sheet2!A:C,2,FALSE)),"")</f>
        <v>Hastupara Amurwojakti</v>
      </c>
      <c r="C71" s="2">
        <v>1571301191</v>
      </c>
      <c r="D71" t="s">
        <v>0</v>
      </c>
      <c r="E71" t="s">
        <v>144</v>
      </c>
      <c r="F71" t="s">
        <v>145</v>
      </c>
      <c r="G71" s="1">
        <v>46247</v>
      </c>
      <c r="H71" t="s">
        <v>3</v>
      </c>
      <c r="I71" t="s">
        <v>4</v>
      </c>
      <c r="J71" t="s">
        <v>5</v>
      </c>
      <c r="K71" t="s">
        <v>6</v>
      </c>
      <c r="L71" t="s">
        <v>7</v>
      </c>
    </row>
    <row r="72" spans="1:12" x14ac:dyDescent="0.3">
      <c r="A72" t="str">
        <f>IF(COUNTIF(Sheet2!A:A,C72)&gt;0,"Ada","Tidak Ada")</f>
        <v>Tidak Ada</v>
      </c>
      <c r="B72" t="str">
        <f>IF(A72="Ada",IF(IFERROR(VLOOKUP(C72,Sheet2!A:C,2,FALSE),"")="",IFERROR(VLOOKUP(C72,Sheet2!A:C,3,FALSE),""),VLOOKUP(C72,Sheet2!A:C,2,FALSE)),"")</f>
        <v/>
      </c>
      <c r="C72" s="2">
        <v>1571301987</v>
      </c>
      <c r="D72" t="s">
        <v>0</v>
      </c>
      <c r="E72" t="s">
        <v>146</v>
      </c>
      <c r="F72" t="s">
        <v>147</v>
      </c>
      <c r="G72" s="1">
        <v>46247</v>
      </c>
      <c r="H72" t="s">
        <v>3</v>
      </c>
      <c r="I72" t="s">
        <v>4</v>
      </c>
      <c r="J72" t="s">
        <v>5</v>
      </c>
      <c r="K72" t="s">
        <v>6</v>
      </c>
      <c r="L72" t="s">
        <v>7</v>
      </c>
    </row>
    <row r="73" spans="1:12" x14ac:dyDescent="0.3">
      <c r="A73" t="str">
        <f>IF(COUNTIF(Sheet2!A:A,C73)&gt;0,"Ada","Tidak Ada")</f>
        <v>Ada</v>
      </c>
      <c r="B73" t="str">
        <f>IF(A73="Ada",IF(IFERROR(VLOOKUP(C73,Sheet2!A:C,2,FALSE),"")="",IFERROR(VLOOKUP(C73,Sheet2!A:C,3,FALSE),""),VLOOKUP(C73,Sheet2!A:C,2,FALSE)),"")</f>
        <v>Fadli Sirait, S.Si, M.T, Ph.D</v>
      </c>
      <c r="C73" s="2">
        <v>1571303126</v>
      </c>
      <c r="D73" t="s">
        <v>0</v>
      </c>
      <c r="E73" t="s">
        <v>148</v>
      </c>
      <c r="F73" t="s">
        <v>149</v>
      </c>
      <c r="G73" s="1">
        <v>46247</v>
      </c>
      <c r="H73" t="s">
        <v>3</v>
      </c>
      <c r="I73" t="s">
        <v>4</v>
      </c>
      <c r="J73" t="s">
        <v>5</v>
      </c>
      <c r="K73" t="s">
        <v>6</v>
      </c>
      <c r="L73" t="s">
        <v>7</v>
      </c>
    </row>
    <row r="74" spans="1:12" x14ac:dyDescent="0.3">
      <c r="A74" t="str">
        <f>IF(COUNTIF(Sheet2!A:A,C74)&gt;0,"Ada","Tidak Ada")</f>
        <v>Ada</v>
      </c>
      <c r="B74" t="str">
        <f>IF(A74="Ada",IF(IFERROR(VLOOKUP(C74,Sheet2!A:C,2,FALSE),"")="",IFERROR(VLOOKUP(C74,Sheet2!A:C,3,FALSE),""),VLOOKUP(C74,Sheet2!A:C,2,FALSE)),"")</f>
        <v>-</v>
      </c>
      <c r="C74" s="2">
        <v>1571304164</v>
      </c>
      <c r="D74" t="s">
        <v>0</v>
      </c>
      <c r="E74" t="s">
        <v>150</v>
      </c>
      <c r="F74" t="s">
        <v>151</v>
      </c>
      <c r="G74" s="1">
        <v>46247</v>
      </c>
      <c r="H74" t="s">
        <v>3</v>
      </c>
      <c r="I74" t="s">
        <v>4</v>
      </c>
      <c r="J74" t="s">
        <v>5</v>
      </c>
      <c r="K74" t="s">
        <v>6</v>
      </c>
      <c r="L74" t="s">
        <v>7</v>
      </c>
    </row>
    <row r="75" spans="1:12" x14ac:dyDescent="0.3">
      <c r="A75" t="str">
        <f>IF(COUNTIF(Sheet2!A:A,C75)&gt;0,"Ada","Tidak Ada")</f>
        <v>Ada</v>
      </c>
      <c r="B75" t="str">
        <f>IF(A75="Ada",IF(IFERROR(VLOOKUP(C75,Sheet2!A:C,2,FALSE),"")="",IFERROR(VLOOKUP(C75,Sheet2!A:C,3,FALSE),""),VLOOKUP(C75,Sheet2!A:C,2,FALSE)),"")</f>
        <v>Chandra Restu Pradipto, Aloysius Bernanda Gunawan, Bambang Pratama</v>
      </c>
      <c r="C75" s="2">
        <v>1571304167</v>
      </c>
      <c r="D75" t="s">
        <v>0</v>
      </c>
      <c r="E75" t="s">
        <v>152</v>
      </c>
      <c r="F75" t="s">
        <v>153</v>
      </c>
      <c r="G75" s="1">
        <v>46247</v>
      </c>
      <c r="H75" t="s">
        <v>3</v>
      </c>
      <c r="I75" t="s">
        <v>4</v>
      </c>
      <c r="J75" t="s">
        <v>5</v>
      </c>
      <c r="K75" t="s">
        <v>6</v>
      </c>
      <c r="L75" t="s">
        <v>7</v>
      </c>
    </row>
    <row r="76" spans="1:12" x14ac:dyDescent="0.3">
      <c r="A76" t="str">
        <f>IF(COUNTIF(Sheet2!A:A,C76)&gt;0,"Ada","Tidak Ada")</f>
        <v>Tidak Ada</v>
      </c>
      <c r="B76" t="str">
        <f>IF(A76="Ada",IF(IFERROR(VLOOKUP(C76,Sheet2!A:C,2,FALSE),"")="",IFERROR(VLOOKUP(C76,Sheet2!A:C,3,FALSE),""),VLOOKUP(C76,Sheet2!A:C,2,FALSE)),"")</f>
        <v/>
      </c>
      <c r="C76" s="2">
        <v>1571304299</v>
      </c>
      <c r="D76" t="s">
        <v>0</v>
      </c>
      <c r="E76" t="s">
        <v>154</v>
      </c>
      <c r="F76" t="s">
        <v>155</v>
      </c>
      <c r="G76" s="1">
        <v>46247</v>
      </c>
      <c r="H76" t="s">
        <v>3</v>
      </c>
      <c r="I76" t="s">
        <v>4</v>
      </c>
      <c r="J76" t="s">
        <v>5</v>
      </c>
      <c r="K76" t="s">
        <v>6</v>
      </c>
      <c r="L76" t="s">
        <v>7</v>
      </c>
    </row>
    <row r="77" spans="1:12" x14ac:dyDescent="0.3">
      <c r="A77" t="str">
        <f>IF(COUNTIF(Sheet2!A:A,C77)&gt;0,"Ada","Tidak Ada")</f>
        <v>Tidak Ada</v>
      </c>
      <c r="B77" t="str">
        <f>IF(A77="Ada",IF(IFERROR(VLOOKUP(C77,Sheet2!A:C,2,FALSE),"")="",IFERROR(VLOOKUP(C77,Sheet2!A:C,3,FALSE),""),VLOOKUP(C77,Sheet2!A:C,2,FALSE)),"")</f>
        <v/>
      </c>
      <c r="C77" s="2">
        <v>1571304412</v>
      </c>
      <c r="D77" t="s">
        <v>0</v>
      </c>
      <c r="E77" t="s">
        <v>156</v>
      </c>
      <c r="F77" t="s">
        <v>157</v>
      </c>
      <c r="G77" s="1">
        <v>46247</v>
      </c>
      <c r="H77" t="s">
        <v>3</v>
      </c>
      <c r="I77" t="s">
        <v>4</v>
      </c>
      <c r="J77" t="s">
        <v>5</v>
      </c>
      <c r="K77" t="s">
        <v>6</v>
      </c>
      <c r="L77" t="s">
        <v>7</v>
      </c>
    </row>
    <row r="78" spans="1:12" x14ac:dyDescent="0.3">
      <c r="A78" t="str">
        <f>IF(COUNTIF(Sheet2!A:A,C78)&gt;0,"Ada","Tidak Ada")</f>
        <v>Tidak Ada</v>
      </c>
      <c r="B78" t="str">
        <f>IF(A78="Ada",IF(IFERROR(VLOOKUP(C78,Sheet2!A:C,2,FALSE),"")="",IFERROR(VLOOKUP(C78,Sheet2!A:C,3,FALSE),""),VLOOKUP(C78,Sheet2!A:C,2,FALSE)),"")</f>
        <v/>
      </c>
      <c r="C78" s="2">
        <v>1571304421</v>
      </c>
      <c r="D78" t="s">
        <v>0</v>
      </c>
      <c r="E78" t="s">
        <v>158</v>
      </c>
      <c r="F78" t="s">
        <v>159</v>
      </c>
      <c r="G78" s="1">
        <v>46247</v>
      </c>
      <c r="H78" t="s">
        <v>3</v>
      </c>
      <c r="I78" t="s">
        <v>4</v>
      </c>
      <c r="J78" t="s">
        <v>5</v>
      </c>
      <c r="K78" t="s">
        <v>6</v>
      </c>
      <c r="L78" t="s">
        <v>7</v>
      </c>
    </row>
    <row r="79" spans="1:12" x14ac:dyDescent="0.3">
      <c r="A79" t="str">
        <f>IF(COUNTIF(Sheet2!A:A,C79)&gt;0,"Ada","Tidak Ada")</f>
        <v>Ada</v>
      </c>
      <c r="B79" t="str">
        <f>IF(A79="Ada",IF(IFERROR(VLOOKUP(C79,Sheet2!A:C,2,FALSE),"")="",IFERROR(VLOOKUP(C79,Sheet2!A:C,3,FALSE),""),VLOOKUP(C79,Sheet2!A:C,2,FALSE)),"")</f>
        <v>Aditya Sheva Pratama</v>
      </c>
      <c r="C79" s="2">
        <v>1571304705</v>
      </c>
      <c r="D79" t="s">
        <v>0</v>
      </c>
      <c r="E79" t="s">
        <v>160</v>
      </c>
      <c r="F79" t="s">
        <v>161</v>
      </c>
      <c r="G79" s="1">
        <v>46247</v>
      </c>
      <c r="H79" t="s">
        <v>3</v>
      </c>
      <c r="I79" t="s">
        <v>4</v>
      </c>
      <c r="J79" t="s">
        <v>5</v>
      </c>
      <c r="K79" t="s">
        <v>6</v>
      </c>
      <c r="L79" t="s">
        <v>7</v>
      </c>
    </row>
    <row r="80" spans="1:12" x14ac:dyDescent="0.3">
      <c r="A80" t="str">
        <f>IF(COUNTIF(Sheet2!A:A,C80)&gt;0,"Ada","Tidak Ada")</f>
        <v>Ada</v>
      </c>
      <c r="B80" t="str">
        <f>IF(A80="Ada",IF(IFERROR(VLOOKUP(C80,Sheet2!A:C,2,FALSE),"")="",IFERROR(VLOOKUP(C80,Sheet2!A:C,3,FALSE),""),VLOOKUP(C80,Sheet2!A:C,2,FALSE)),"")</f>
        <v>Nanditya Vianti Putri</v>
      </c>
      <c r="C80" s="2">
        <v>1571304827</v>
      </c>
      <c r="D80" t="s">
        <v>0</v>
      </c>
      <c r="E80" t="s">
        <v>162</v>
      </c>
      <c r="F80" t="s">
        <v>163</v>
      </c>
      <c r="G80" s="1">
        <v>46247</v>
      </c>
      <c r="H80" t="s">
        <v>3</v>
      </c>
      <c r="I80" t="s">
        <v>4</v>
      </c>
      <c r="J80" t="s">
        <v>5</v>
      </c>
      <c r="K80" t="s">
        <v>6</v>
      </c>
      <c r="L80" t="s">
        <v>7</v>
      </c>
    </row>
    <row r="81" spans="1:12" x14ac:dyDescent="0.3">
      <c r="A81" t="str">
        <f>IF(COUNTIF(Sheet2!A:A,C81)&gt;0,"Ada","Tidak Ada")</f>
        <v>Ada</v>
      </c>
      <c r="B81" t="str">
        <f>IF(A81="Ada",IF(IFERROR(VLOOKUP(C81,Sheet2!A:C,2,FALSE),"")="",IFERROR(VLOOKUP(C81,Sheet2!A:C,3,FALSE),""),VLOOKUP(C81,Sheet2!A:C,2,FALSE)),"")</f>
        <v>Muhammad Fahry Ali</v>
      </c>
      <c r="C81" s="2">
        <v>1571305122</v>
      </c>
      <c r="D81" t="s">
        <v>0</v>
      </c>
      <c r="E81" t="s">
        <v>164</v>
      </c>
      <c r="F81" t="s">
        <v>165</v>
      </c>
      <c r="G81" s="1">
        <v>46247</v>
      </c>
      <c r="H81" t="s">
        <v>3</v>
      </c>
      <c r="I81" t="s">
        <v>4</v>
      </c>
      <c r="J81" t="s">
        <v>5</v>
      </c>
      <c r="K81" t="s">
        <v>6</v>
      </c>
      <c r="L81" t="s">
        <v>7</v>
      </c>
    </row>
    <row r="82" spans="1:12" x14ac:dyDescent="0.3">
      <c r="A82" t="str">
        <f>IF(COUNTIF(Sheet2!A:A,C82)&gt;0,"Ada","Tidak Ada")</f>
        <v>Tidak Ada</v>
      </c>
      <c r="B82" t="str">
        <f>IF(A82="Ada",IF(IFERROR(VLOOKUP(C82,Sheet2!A:C,2,FALSE),"")="",IFERROR(VLOOKUP(C82,Sheet2!A:C,3,FALSE),""),VLOOKUP(C82,Sheet2!A:C,2,FALSE)),"")</f>
        <v/>
      </c>
      <c r="C82" s="2">
        <v>1571305134</v>
      </c>
      <c r="D82" t="s">
        <v>0</v>
      </c>
      <c r="E82" t="s">
        <v>166</v>
      </c>
      <c r="F82" t="s">
        <v>167</v>
      </c>
      <c r="G82" s="1">
        <v>46247</v>
      </c>
      <c r="H82" t="s">
        <v>3</v>
      </c>
      <c r="I82" t="s">
        <v>4</v>
      </c>
      <c r="J82" t="s">
        <v>5</v>
      </c>
      <c r="K82" t="s">
        <v>6</v>
      </c>
      <c r="L82" t="s">
        <v>7</v>
      </c>
    </row>
    <row r="83" spans="1:12" x14ac:dyDescent="0.3">
      <c r="A83" t="str">
        <f>IF(COUNTIF(Sheet2!A:A,C83)&gt;0,"Ada","Tidak Ada")</f>
        <v>Tidak Ada</v>
      </c>
      <c r="B83" t="str">
        <f>IF(A83="Ada",IF(IFERROR(VLOOKUP(C83,Sheet2!A:C,2,FALSE),"")="",IFERROR(VLOOKUP(C83,Sheet2!A:C,3,FALSE),""),VLOOKUP(C83,Sheet2!A:C,2,FALSE)),"")</f>
        <v/>
      </c>
      <c r="C83" s="2">
        <v>1571305135</v>
      </c>
      <c r="D83" t="s">
        <v>0</v>
      </c>
      <c r="E83" t="s">
        <v>168</v>
      </c>
      <c r="F83" t="s">
        <v>169</v>
      </c>
      <c r="G83" s="1">
        <v>46247</v>
      </c>
      <c r="H83" t="s">
        <v>3</v>
      </c>
      <c r="I83" t="s">
        <v>4</v>
      </c>
      <c r="J83" t="s">
        <v>5</v>
      </c>
      <c r="K83" t="s">
        <v>6</v>
      </c>
      <c r="L83" t="s">
        <v>7</v>
      </c>
    </row>
    <row r="84" spans="1:12" x14ac:dyDescent="0.3">
      <c r="A84" t="str">
        <f>IF(COUNTIF(Sheet2!A:A,C84)&gt;0,"Ada","Tidak Ada")</f>
        <v>Ada</v>
      </c>
      <c r="B84" t="str">
        <f>IF(A84="Ada",IF(IFERROR(VLOOKUP(C84,Sheet2!A:C,2,FALSE),"")="",IFERROR(VLOOKUP(C84,Sheet2!A:C,3,FALSE),""),VLOOKUP(C84,Sheet2!A:C,2,FALSE)),"")</f>
        <v>Osmalina Nur Rahma, S.T., M.Si.</v>
      </c>
      <c r="C84" s="2">
        <v>1571305199</v>
      </c>
      <c r="D84" t="s">
        <v>0</v>
      </c>
      <c r="E84" t="s">
        <v>170</v>
      </c>
      <c r="F84" t="s">
        <v>171</v>
      </c>
      <c r="G84" s="1">
        <v>46247</v>
      </c>
      <c r="H84" t="s">
        <v>3</v>
      </c>
      <c r="I84" t="s">
        <v>4</v>
      </c>
      <c r="J84" t="s">
        <v>5</v>
      </c>
      <c r="K84" t="s">
        <v>6</v>
      </c>
      <c r="L84" t="s">
        <v>7</v>
      </c>
    </row>
    <row r="85" spans="1:12" x14ac:dyDescent="0.3">
      <c r="A85" t="str">
        <f>IF(COUNTIF(Sheet2!A:A,C85)&gt;0,"Ada","Tidak Ada")</f>
        <v>Tidak Ada</v>
      </c>
      <c r="B85" t="str">
        <f>IF(A85="Ada",IF(IFERROR(VLOOKUP(C85,Sheet2!A:C,2,FALSE),"")="",IFERROR(VLOOKUP(C85,Sheet2!A:C,3,FALSE),""),VLOOKUP(C85,Sheet2!A:C,2,FALSE)),"")</f>
        <v/>
      </c>
      <c r="C85" s="2">
        <v>1571305278</v>
      </c>
      <c r="D85" t="s">
        <v>0</v>
      </c>
      <c r="E85" t="s">
        <v>172</v>
      </c>
      <c r="F85" t="s">
        <v>173</v>
      </c>
      <c r="G85" s="1">
        <v>46247</v>
      </c>
      <c r="H85" t="s">
        <v>3</v>
      </c>
      <c r="I85" t="s">
        <v>4</v>
      </c>
      <c r="J85" t="s">
        <v>5</v>
      </c>
      <c r="K85" t="s">
        <v>6</v>
      </c>
      <c r="L85" t="s">
        <v>7</v>
      </c>
    </row>
    <row r="86" spans="1:12" x14ac:dyDescent="0.3">
      <c r="A86" t="str">
        <f>IF(COUNTIF(Sheet2!A:A,C86)&gt;0,"Ada","Tidak Ada")</f>
        <v>Ada</v>
      </c>
      <c r="B86" t="str">
        <f>IF(A86="Ada",IF(IFERROR(VLOOKUP(C86,Sheet2!A:C,2,FALSE),"")="",IFERROR(VLOOKUP(C86,Sheet2!A:C,3,FALSE),""),VLOOKUP(C86,Sheet2!A:C,2,FALSE)),"")</f>
        <v>I Gusti bagus Wiraditya</v>
      </c>
      <c r="C86" s="2">
        <v>1571305279</v>
      </c>
      <c r="D86" t="s">
        <v>0</v>
      </c>
      <c r="E86" t="s">
        <v>174</v>
      </c>
      <c r="F86" t="s">
        <v>175</v>
      </c>
      <c r="G86" s="1">
        <v>46247</v>
      </c>
      <c r="H86" t="s">
        <v>3</v>
      </c>
      <c r="I86" t="s">
        <v>4</v>
      </c>
      <c r="J86" t="s">
        <v>5</v>
      </c>
      <c r="K86" t="s">
        <v>6</v>
      </c>
      <c r="L86" t="s">
        <v>7</v>
      </c>
    </row>
    <row r="87" spans="1:12" x14ac:dyDescent="0.3">
      <c r="A87" t="str">
        <f>IF(COUNTIF(Sheet2!A:A,C87)&gt;0,"Ada","Tidak Ada")</f>
        <v>Ada</v>
      </c>
      <c r="B87" t="str">
        <f>IF(A87="Ada",IF(IFERROR(VLOOKUP(C87,Sheet2!A:C,2,FALSE),"")="",IFERROR(VLOOKUP(C87,Sheet2!A:C,3,FALSE),""),VLOOKUP(C87,Sheet2!A:C,2,FALSE)),"")</f>
        <v>Muhammad Fahry Ali</v>
      </c>
      <c r="C87" s="2">
        <v>1571305316</v>
      </c>
      <c r="D87" t="s">
        <v>0</v>
      </c>
      <c r="E87" t="s">
        <v>176</v>
      </c>
      <c r="F87" t="s">
        <v>177</v>
      </c>
      <c r="G87" s="1">
        <v>46247</v>
      </c>
      <c r="H87" t="s">
        <v>3</v>
      </c>
      <c r="I87" t="s">
        <v>4</v>
      </c>
      <c r="J87" t="s">
        <v>5</v>
      </c>
      <c r="K87" t="s">
        <v>6</v>
      </c>
      <c r="L87" t="s">
        <v>7</v>
      </c>
    </row>
    <row r="88" spans="1:12" x14ac:dyDescent="0.3">
      <c r="A88" t="str">
        <f>IF(COUNTIF(Sheet2!A:A,C88)&gt;0,"Ada","Tidak Ada")</f>
        <v>Ada</v>
      </c>
      <c r="B88" t="str">
        <f>IF(A88="Ada",IF(IFERROR(VLOOKUP(C88,Sheet2!A:C,2,FALSE),"")="",IFERROR(VLOOKUP(C88,Sheet2!A:C,3,FALSE),""),VLOOKUP(C88,Sheet2!A:C,2,FALSE)),"")</f>
        <v>Yan Watequlis Syaifudin</v>
      </c>
      <c r="C88" s="2">
        <v>1571305337</v>
      </c>
      <c r="D88" t="s">
        <v>0</v>
      </c>
      <c r="E88" t="s">
        <v>178</v>
      </c>
      <c r="F88" t="s">
        <v>179</v>
      </c>
      <c r="G88" s="1">
        <v>46247</v>
      </c>
      <c r="H88" t="s">
        <v>3</v>
      </c>
      <c r="I88" t="s">
        <v>4</v>
      </c>
      <c r="J88" t="s">
        <v>5</v>
      </c>
      <c r="K88" t="s">
        <v>6</v>
      </c>
      <c r="L88" t="s">
        <v>7</v>
      </c>
    </row>
    <row r="89" spans="1:12" x14ac:dyDescent="0.3">
      <c r="A89" t="str">
        <f>IF(COUNTIF(Sheet2!A:A,C89)&gt;0,"Ada","Tidak Ada")</f>
        <v>Ada</v>
      </c>
      <c r="B89">
        <f>IF(A89="Ada",IF(IFERROR(VLOOKUP(C89,Sheet2!A:C,2,FALSE),"")="",IFERROR(VLOOKUP(C89,Sheet2!A:C,3,FALSE),""),VLOOKUP(C89,Sheet2!A:C,2,FALSE)),"")</f>
        <v>0</v>
      </c>
      <c r="C89" s="2">
        <v>1571305354</v>
      </c>
      <c r="D89" t="s">
        <v>0</v>
      </c>
      <c r="E89" t="s">
        <v>180</v>
      </c>
      <c r="F89" t="s">
        <v>181</v>
      </c>
      <c r="G89" s="1">
        <v>46247</v>
      </c>
      <c r="H89" t="s">
        <v>3</v>
      </c>
      <c r="I89" t="s">
        <v>4</v>
      </c>
      <c r="J89" t="s">
        <v>5</v>
      </c>
      <c r="K89" t="s">
        <v>6</v>
      </c>
      <c r="L89" t="s">
        <v>7</v>
      </c>
    </row>
    <row r="90" spans="1:12" x14ac:dyDescent="0.3">
      <c r="A90" t="str">
        <f>IF(COUNTIF(Sheet2!A:A,C90)&gt;0,"Ada","Tidak Ada")</f>
        <v>Ada</v>
      </c>
      <c r="B90">
        <f>IF(A90="Ada",IF(IFERROR(VLOOKUP(C90,Sheet2!A:C,2,FALSE),"")="",IFERROR(VLOOKUP(C90,Sheet2!A:C,3,FALSE),""),VLOOKUP(C90,Sheet2!A:C,2,FALSE)),"")</f>
        <v>0</v>
      </c>
      <c r="C90" s="2">
        <v>1571305360</v>
      </c>
      <c r="D90" t="s">
        <v>0</v>
      </c>
      <c r="E90" t="s">
        <v>182</v>
      </c>
      <c r="F90" t="s">
        <v>183</v>
      </c>
      <c r="G90" s="1">
        <v>46247</v>
      </c>
      <c r="H90" t="s">
        <v>3</v>
      </c>
      <c r="I90" t="s">
        <v>4</v>
      </c>
      <c r="J90" t="s">
        <v>5</v>
      </c>
      <c r="K90" t="s">
        <v>6</v>
      </c>
      <c r="L90" t="s">
        <v>7</v>
      </c>
    </row>
    <row r="91" spans="1:12" x14ac:dyDescent="0.3">
      <c r="A91" t="str">
        <f>IF(COUNTIF(Sheet2!A:A,C91)&gt;0,"Ada","Tidak Ada")</f>
        <v>Tidak Ada</v>
      </c>
      <c r="B91" t="str">
        <f>IF(A91="Ada",IF(IFERROR(VLOOKUP(C91,Sheet2!A:C,2,FALSE),"")="",IFERROR(VLOOKUP(C91,Sheet2!A:C,3,FALSE),""),VLOOKUP(C91,Sheet2!A:C,2,FALSE)),"")</f>
        <v/>
      </c>
      <c r="C91" s="2">
        <v>1571305396</v>
      </c>
      <c r="D91" t="s">
        <v>0</v>
      </c>
      <c r="E91" t="s">
        <v>184</v>
      </c>
      <c r="F91" t="s">
        <v>185</v>
      </c>
      <c r="G91" s="1">
        <v>46247</v>
      </c>
      <c r="H91" t="s">
        <v>3</v>
      </c>
      <c r="I91" t="s">
        <v>4</v>
      </c>
      <c r="J91" t="s">
        <v>5</v>
      </c>
      <c r="K91" t="s">
        <v>6</v>
      </c>
      <c r="L91" t="s">
        <v>7</v>
      </c>
    </row>
    <row r="92" spans="1:12" x14ac:dyDescent="0.3">
      <c r="A92" t="str">
        <f>IF(COUNTIF(Sheet2!A:A,C92)&gt;0,"Ada","Tidak Ada")</f>
        <v>Tidak Ada</v>
      </c>
      <c r="B92" t="str">
        <f>IF(A92="Ada",IF(IFERROR(VLOOKUP(C92,Sheet2!A:C,2,FALSE),"")="",IFERROR(VLOOKUP(C92,Sheet2!A:C,3,FALSE),""),VLOOKUP(C92,Sheet2!A:C,2,FALSE)),"")</f>
        <v/>
      </c>
      <c r="C92" s="2">
        <v>1571305460</v>
      </c>
      <c r="D92" t="s">
        <v>0</v>
      </c>
      <c r="E92" t="s">
        <v>186</v>
      </c>
      <c r="F92" t="s">
        <v>187</v>
      </c>
      <c r="G92" s="1">
        <v>46247</v>
      </c>
      <c r="H92" t="s">
        <v>3</v>
      </c>
      <c r="I92" t="s">
        <v>4</v>
      </c>
      <c r="J92" t="s">
        <v>5</v>
      </c>
      <c r="K92" t="s">
        <v>6</v>
      </c>
      <c r="L92" t="s">
        <v>7</v>
      </c>
    </row>
    <row r="93" spans="1:12" x14ac:dyDescent="0.3">
      <c r="A93" t="str">
        <f>IF(COUNTIF(Sheet2!A:A,C93)&gt;0,"Ada","Tidak Ada")</f>
        <v>Ada</v>
      </c>
      <c r="B93">
        <f>IF(A93="Ada",IF(IFERROR(VLOOKUP(C93,Sheet2!A:C,2,FALSE),"")="",IFERROR(VLOOKUP(C93,Sheet2!A:C,3,FALSE),""),VLOOKUP(C93,Sheet2!A:C,2,FALSE)),"")</f>
        <v>0</v>
      </c>
      <c r="C93" s="2">
        <v>1571305741</v>
      </c>
      <c r="D93" t="s">
        <v>0</v>
      </c>
      <c r="E93" t="s">
        <v>188</v>
      </c>
      <c r="F93" t="s">
        <v>189</v>
      </c>
      <c r="G93" s="1">
        <v>46247</v>
      </c>
      <c r="H93" t="s">
        <v>3</v>
      </c>
      <c r="I93" t="s">
        <v>4</v>
      </c>
      <c r="J93" t="s">
        <v>5</v>
      </c>
      <c r="K93" t="s">
        <v>6</v>
      </c>
      <c r="L93" t="s">
        <v>7</v>
      </c>
    </row>
    <row r="94" spans="1:12" x14ac:dyDescent="0.3">
      <c r="A94" t="str">
        <f>IF(COUNTIF(Sheet2!A:A,C94)&gt;0,"Ada","Tidak Ada")</f>
        <v>Tidak Ada</v>
      </c>
      <c r="B94" t="str">
        <f>IF(A94="Ada",IF(IFERROR(VLOOKUP(C94,Sheet2!A:C,2,FALSE),"")="",IFERROR(VLOOKUP(C94,Sheet2!A:C,3,FALSE),""),VLOOKUP(C94,Sheet2!A:C,2,FALSE)),"")</f>
        <v/>
      </c>
      <c r="C94" s="2">
        <v>1571305865</v>
      </c>
      <c r="D94" t="s">
        <v>0</v>
      </c>
      <c r="E94" t="s">
        <v>190</v>
      </c>
      <c r="F94" t="s">
        <v>191</v>
      </c>
      <c r="G94" s="1">
        <v>46247</v>
      </c>
      <c r="H94" t="s">
        <v>3</v>
      </c>
      <c r="I94" t="s">
        <v>4</v>
      </c>
      <c r="J94" t="s">
        <v>5</v>
      </c>
      <c r="K94" t="s">
        <v>6</v>
      </c>
      <c r="L94" t="s">
        <v>7</v>
      </c>
    </row>
    <row r="95" spans="1:12" x14ac:dyDescent="0.3">
      <c r="A95" t="str">
        <f>IF(COUNTIF(Sheet2!A:A,C95)&gt;0,"Ada","Tidak Ada")</f>
        <v>Tidak Ada</v>
      </c>
      <c r="B95" t="str">
        <f>IF(A95="Ada",IF(IFERROR(VLOOKUP(C95,Sheet2!A:C,2,FALSE),"")="",IFERROR(VLOOKUP(C95,Sheet2!A:C,3,FALSE),""),VLOOKUP(C95,Sheet2!A:C,2,FALSE)),"")</f>
        <v/>
      </c>
      <c r="C95" s="2">
        <v>1571305916</v>
      </c>
      <c r="D95" t="s">
        <v>0</v>
      </c>
      <c r="E95" t="s">
        <v>192</v>
      </c>
      <c r="F95" t="s">
        <v>193</v>
      </c>
      <c r="G95" s="1">
        <v>46247</v>
      </c>
      <c r="H95" t="s">
        <v>3</v>
      </c>
      <c r="I95" t="s">
        <v>4</v>
      </c>
      <c r="J95" t="s">
        <v>5</v>
      </c>
      <c r="K95" t="s">
        <v>6</v>
      </c>
      <c r="L95" t="s">
        <v>7</v>
      </c>
    </row>
    <row r="96" spans="1:12" x14ac:dyDescent="0.3">
      <c r="A96" t="str">
        <f>IF(COUNTIF(Sheet2!A:A,C96)&gt;0,"Ada","Tidak Ada")</f>
        <v>Tidak Ada</v>
      </c>
      <c r="B96" t="str">
        <f>IF(A96="Ada",IF(IFERROR(VLOOKUP(C96,Sheet2!A:C,2,FALSE),"")="",IFERROR(VLOOKUP(C96,Sheet2!A:C,3,FALSE),""),VLOOKUP(C96,Sheet2!A:C,2,FALSE)),"")</f>
        <v/>
      </c>
      <c r="C96" s="2">
        <v>1571305984</v>
      </c>
      <c r="D96" t="s">
        <v>0</v>
      </c>
      <c r="E96" t="s">
        <v>194</v>
      </c>
      <c r="F96" t="s">
        <v>195</v>
      </c>
      <c r="G96" s="1">
        <v>46247</v>
      </c>
      <c r="H96" t="s">
        <v>3</v>
      </c>
      <c r="I96" t="s">
        <v>4</v>
      </c>
      <c r="J96" t="s">
        <v>5</v>
      </c>
      <c r="K96" t="s">
        <v>6</v>
      </c>
      <c r="L96" t="s">
        <v>7</v>
      </c>
    </row>
    <row r="97" spans="1:12" x14ac:dyDescent="0.3">
      <c r="A97" t="str">
        <f>IF(COUNTIF(Sheet2!A:A,C97)&gt;0,"Ada","Tidak Ada")</f>
        <v>Ada</v>
      </c>
      <c r="B97">
        <f>IF(A97="Ada",IF(IFERROR(VLOOKUP(C97,Sheet2!A:C,2,FALSE),"")="",IFERROR(VLOOKUP(C97,Sheet2!A:C,3,FALSE),""),VLOOKUP(C97,Sheet2!A:C,2,FALSE)),"")</f>
        <v>0</v>
      </c>
      <c r="C97" s="2">
        <v>1571306241</v>
      </c>
      <c r="D97" t="s">
        <v>0</v>
      </c>
      <c r="E97" t="s">
        <v>196</v>
      </c>
      <c r="F97" t="s">
        <v>197</v>
      </c>
      <c r="G97" s="1">
        <v>46247</v>
      </c>
      <c r="H97" t="s">
        <v>3</v>
      </c>
      <c r="I97" t="s">
        <v>4</v>
      </c>
      <c r="J97" t="s">
        <v>5</v>
      </c>
      <c r="K97" t="s">
        <v>6</v>
      </c>
      <c r="L97" t="s">
        <v>7</v>
      </c>
    </row>
    <row r="98" spans="1:12" x14ac:dyDescent="0.3">
      <c r="A98" t="str">
        <f>IF(COUNTIF(Sheet2!A:A,C98)&gt;0,"Ada","Tidak Ada")</f>
        <v>Ada</v>
      </c>
      <c r="B98">
        <f>IF(A98="Ada",IF(IFERROR(VLOOKUP(C98,Sheet2!A:C,2,FALSE),"")="",IFERROR(VLOOKUP(C98,Sheet2!A:C,3,FALSE),""),VLOOKUP(C98,Sheet2!A:C,2,FALSE)),"")</f>
        <v>0</v>
      </c>
      <c r="C98" s="2">
        <v>1571306264</v>
      </c>
      <c r="D98" t="s">
        <v>0</v>
      </c>
      <c r="E98" t="s">
        <v>198</v>
      </c>
      <c r="F98" t="s">
        <v>199</v>
      </c>
      <c r="G98" s="1">
        <v>46247</v>
      </c>
      <c r="H98" t="s">
        <v>3</v>
      </c>
      <c r="I98" t="s">
        <v>4</v>
      </c>
      <c r="J98" t="s">
        <v>5</v>
      </c>
      <c r="K98" t="s">
        <v>6</v>
      </c>
      <c r="L98" t="s">
        <v>7</v>
      </c>
    </row>
    <row r="99" spans="1:12" x14ac:dyDescent="0.3">
      <c r="A99" t="str">
        <f>IF(COUNTIF(Sheet2!A:A,C99)&gt;0,"Ada","Tidak Ada")</f>
        <v>Tidak Ada</v>
      </c>
      <c r="B99" t="str">
        <f>IF(A99="Ada",IF(IFERROR(VLOOKUP(C99,Sheet2!A:C,2,FALSE),"")="",IFERROR(VLOOKUP(C99,Sheet2!A:C,3,FALSE),""),VLOOKUP(C99,Sheet2!A:C,2,FALSE)),"")</f>
        <v/>
      </c>
      <c r="C99" s="2">
        <v>1571306277</v>
      </c>
      <c r="D99" t="s">
        <v>0</v>
      </c>
      <c r="E99" t="s">
        <v>200</v>
      </c>
      <c r="F99" t="s">
        <v>201</v>
      </c>
      <c r="G99" s="1">
        <v>46247</v>
      </c>
      <c r="H99" t="s">
        <v>3</v>
      </c>
      <c r="I99" t="s">
        <v>4</v>
      </c>
      <c r="J99" t="s">
        <v>5</v>
      </c>
      <c r="K99" t="s">
        <v>6</v>
      </c>
      <c r="L99" t="s">
        <v>7</v>
      </c>
    </row>
    <row r="100" spans="1:12" x14ac:dyDescent="0.3">
      <c r="A100" t="str">
        <f>IF(COUNTIF(Sheet2!A:A,C100)&gt;0,"Ada","Tidak Ada")</f>
        <v>Tidak Ada</v>
      </c>
      <c r="B100" t="str">
        <f>IF(A100="Ada",IF(IFERROR(VLOOKUP(C100,Sheet2!A:C,2,FALSE),"")="",IFERROR(VLOOKUP(C100,Sheet2!A:C,3,FALSE),""),VLOOKUP(C100,Sheet2!A:C,2,FALSE)),"")</f>
        <v/>
      </c>
      <c r="C100" s="2">
        <v>1571306279</v>
      </c>
      <c r="D100" t="s">
        <v>0</v>
      </c>
      <c r="E100" t="s">
        <v>144</v>
      </c>
      <c r="F100" t="s">
        <v>145</v>
      </c>
      <c r="G100" s="1">
        <v>46247</v>
      </c>
      <c r="H100" t="s">
        <v>3</v>
      </c>
      <c r="I100" t="s">
        <v>4</v>
      </c>
      <c r="J100" t="s">
        <v>5</v>
      </c>
      <c r="K100" t="s">
        <v>6</v>
      </c>
      <c r="L100" t="s">
        <v>7</v>
      </c>
    </row>
    <row r="101" spans="1:12" x14ac:dyDescent="0.3">
      <c r="A101" t="str">
        <f>IF(COUNTIF(Sheet2!A:A,C101)&gt;0,"Ada","Tidak Ada")</f>
        <v>Tidak Ada</v>
      </c>
      <c r="B101" t="str">
        <f>IF(A101="Ada",IF(IFERROR(VLOOKUP(C101,Sheet2!A:C,2,FALSE),"")="",IFERROR(VLOOKUP(C101,Sheet2!A:C,3,FALSE),""),VLOOKUP(C101,Sheet2!A:C,2,FALSE)),"")</f>
        <v/>
      </c>
      <c r="C101" s="2">
        <v>1571306608</v>
      </c>
      <c r="D101" t="s">
        <v>0</v>
      </c>
      <c r="E101" t="s">
        <v>202</v>
      </c>
      <c r="F101" t="s">
        <v>203</v>
      </c>
      <c r="G101" s="1">
        <v>46247</v>
      </c>
      <c r="H101" t="s">
        <v>3</v>
      </c>
      <c r="I101" t="s">
        <v>4</v>
      </c>
      <c r="J101" t="s">
        <v>5</v>
      </c>
      <c r="K101" t="s">
        <v>6</v>
      </c>
      <c r="L101" t="s">
        <v>7</v>
      </c>
    </row>
    <row r="102" spans="1:12" x14ac:dyDescent="0.3">
      <c r="A102" t="str">
        <f>IF(COUNTIF(Sheet2!A:A,C102)&gt;0,"Ada","Tidak Ada")</f>
        <v>Tidak Ada</v>
      </c>
      <c r="B102" t="str">
        <f>IF(A102="Ada",IF(IFERROR(VLOOKUP(C102,Sheet2!A:C,2,FALSE),"")="",IFERROR(VLOOKUP(C102,Sheet2!A:C,3,FALSE),""),VLOOKUP(C102,Sheet2!A:C,2,FALSE)),"")</f>
        <v/>
      </c>
      <c r="C102" s="2">
        <v>1571306612</v>
      </c>
      <c r="D102" t="s">
        <v>0</v>
      </c>
      <c r="E102" t="s">
        <v>204</v>
      </c>
      <c r="F102" t="s">
        <v>205</v>
      </c>
      <c r="G102" s="1">
        <v>46247</v>
      </c>
      <c r="H102" t="s">
        <v>3</v>
      </c>
      <c r="I102" t="s">
        <v>4</v>
      </c>
      <c r="J102" t="s">
        <v>5</v>
      </c>
      <c r="K102" t="s">
        <v>6</v>
      </c>
      <c r="L102" t="s">
        <v>7</v>
      </c>
    </row>
    <row r="103" spans="1:12" x14ac:dyDescent="0.3">
      <c r="A103" t="str">
        <f>IF(COUNTIF(Sheet2!A:A,C103)&gt;0,"Ada","Tidak Ada")</f>
        <v>Tidak Ada</v>
      </c>
      <c r="B103" t="str">
        <f>IF(A103="Ada",IF(IFERROR(VLOOKUP(C103,Sheet2!A:C,2,FALSE),"")="",IFERROR(VLOOKUP(C103,Sheet2!A:C,3,FALSE),""),VLOOKUP(C103,Sheet2!A:C,2,FALSE)),"")</f>
        <v/>
      </c>
      <c r="C103" s="2">
        <v>1571306624</v>
      </c>
      <c r="D103" t="s">
        <v>0</v>
      </c>
      <c r="E103" t="s">
        <v>206</v>
      </c>
      <c r="F103" t="s">
        <v>207</v>
      </c>
      <c r="G103" s="1">
        <v>46247</v>
      </c>
      <c r="H103" t="s">
        <v>3</v>
      </c>
      <c r="I103" t="s">
        <v>4</v>
      </c>
      <c r="J103" t="s">
        <v>5</v>
      </c>
      <c r="K103" t="s">
        <v>6</v>
      </c>
      <c r="L103" t="s">
        <v>7</v>
      </c>
    </row>
    <row r="104" spans="1:12" x14ac:dyDescent="0.3">
      <c r="A104" t="str">
        <f>IF(COUNTIF(Sheet2!A:A,C104)&gt;0,"Ada","Tidak Ada")</f>
        <v>Tidak Ada</v>
      </c>
      <c r="B104" t="str">
        <f>IF(A104="Ada",IF(IFERROR(VLOOKUP(C104,Sheet2!A:C,2,FALSE),"")="",IFERROR(VLOOKUP(C104,Sheet2!A:C,3,FALSE),""),VLOOKUP(C104,Sheet2!A:C,2,FALSE)),"")</f>
        <v/>
      </c>
      <c r="C104" s="2">
        <v>1571307032</v>
      </c>
      <c r="D104" t="s">
        <v>0</v>
      </c>
      <c r="E104" t="s">
        <v>208</v>
      </c>
      <c r="F104" t="s">
        <v>209</v>
      </c>
      <c r="G104" s="1">
        <v>46247</v>
      </c>
      <c r="H104" t="s">
        <v>3</v>
      </c>
      <c r="I104" t="s">
        <v>4</v>
      </c>
      <c r="J104" t="s">
        <v>5</v>
      </c>
      <c r="K104" t="s">
        <v>6</v>
      </c>
      <c r="L104" t="s">
        <v>7</v>
      </c>
    </row>
    <row r="105" spans="1:12" x14ac:dyDescent="0.3">
      <c r="A105" t="str">
        <f>IF(COUNTIF(Sheet2!A:A,C105)&gt;0,"Ada","Tidak Ada")</f>
        <v>Ada</v>
      </c>
      <c r="B105">
        <f>IF(A105="Ada",IF(IFERROR(VLOOKUP(C105,Sheet2!A:C,2,FALSE),"")="",IFERROR(VLOOKUP(C105,Sheet2!A:C,3,FALSE),""),VLOOKUP(C105,Sheet2!A:C,2,FALSE)),"")</f>
        <v>0</v>
      </c>
      <c r="C105" s="2">
        <v>1571307035</v>
      </c>
      <c r="D105" t="s">
        <v>0</v>
      </c>
      <c r="E105" t="s">
        <v>210</v>
      </c>
      <c r="F105" t="s">
        <v>211</v>
      </c>
      <c r="G105" s="1">
        <v>46247</v>
      </c>
      <c r="H105" t="s">
        <v>3</v>
      </c>
      <c r="I105" t="s">
        <v>4</v>
      </c>
      <c r="J105" t="s">
        <v>5</v>
      </c>
      <c r="K105" t="s">
        <v>6</v>
      </c>
      <c r="L105" t="s">
        <v>7</v>
      </c>
    </row>
    <row r="106" spans="1:12" x14ac:dyDescent="0.3">
      <c r="A106" t="str">
        <f>IF(COUNTIF(Sheet2!A:A,C106)&gt;0,"Ada","Tidak Ada")</f>
        <v>Ada</v>
      </c>
      <c r="B106">
        <f>IF(A106="Ada",IF(IFERROR(VLOOKUP(C106,Sheet2!A:C,2,FALSE),"")="",IFERROR(VLOOKUP(C106,Sheet2!A:C,3,FALSE),""),VLOOKUP(C106,Sheet2!A:C,2,FALSE)),"")</f>
        <v>0</v>
      </c>
      <c r="C106" s="2">
        <v>1571307129</v>
      </c>
      <c r="D106" t="s">
        <v>0</v>
      </c>
      <c r="E106" t="s">
        <v>212</v>
      </c>
      <c r="F106" t="s">
        <v>213</v>
      </c>
      <c r="G106" s="1">
        <v>46247</v>
      </c>
      <c r="H106" t="s">
        <v>3</v>
      </c>
      <c r="I106" t="s">
        <v>4</v>
      </c>
      <c r="J106" t="s">
        <v>5</v>
      </c>
      <c r="K106" t="s">
        <v>6</v>
      </c>
      <c r="L106" t="s">
        <v>7</v>
      </c>
    </row>
    <row r="107" spans="1:12" x14ac:dyDescent="0.3">
      <c r="A107" t="str">
        <f>IF(COUNTIF(Sheet2!A:A,C107)&gt;0,"Ada","Tidak Ada")</f>
        <v>Ada</v>
      </c>
      <c r="B107">
        <f>IF(A107="Ada",IF(IFERROR(VLOOKUP(C107,Sheet2!A:C,2,FALSE),"")="",IFERROR(VLOOKUP(C107,Sheet2!A:C,3,FALSE),""),VLOOKUP(C107,Sheet2!A:C,2,FALSE)),"")</f>
        <v>0</v>
      </c>
      <c r="C107" s="2">
        <v>1571307383</v>
      </c>
      <c r="D107" t="s">
        <v>0</v>
      </c>
      <c r="E107" t="s">
        <v>214</v>
      </c>
      <c r="F107" t="s">
        <v>215</v>
      </c>
      <c r="G107" s="1">
        <v>46247</v>
      </c>
      <c r="H107" t="s">
        <v>3</v>
      </c>
      <c r="I107" t="s">
        <v>4</v>
      </c>
      <c r="J107" t="s">
        <v>5</v>
      </c>
      <c r="K107" t="s">
        <v>6</v>
      </c>
      <c r="L107" t="s">
        <v>7</v>
      </c>
    </row>
    <row r="108" spans="1:12" x14ac:dyDescent="0.3">
      <c r="A108" t="str">
        <f>IF(COUNTIF(Sheet2!A:A,C108)&gt;0,"Ada","Tidak Ada")</f>
        <v>Tidak Ada</v>
      </c>
      <c r="B108" t="str">
        <f>IF(A108="Ada",IF(IFERROR(VLOOKUP(C108,Sheet2!A:C,2,FALSE),"")="",IFERROR(VLOOKUP(C108,Sheet2!A:C,3,FALSE),""),VLOOKUP(C108,Sheet2!A:C,2,FALSE)),"")</f>
        <v/>
      </c>
      <c r="C108" s="2">
        <v>1571307415</v>
      </c>
      <c r="D108" t="s">
        <v>0</v>
      </c>
      <c r="E108" t="s">
        <v>216</v>
      </c>
      <c r="F108" t="s">
        <v>217</v>
      </c>
      <c r="G108" s="1">
        <v>46247</v>
      </c>
      <c r="H108" t="s">
        <v>3</v>
      </c>
      <c r="I108" t="s">
        <v>4</v>
      </c>
      <c r="J108" t="s">
        <v>5</v>
      </c>
      <c r="K108" t="s">
        <v>6</v>
      </c>
      <c r="L108" t="s">
        <v>7</v>
      </c>
    </row>
    <row r="109" spans="1:12" x14ac:dyDescent="0.3">
      <c r="A109" t="str">
        <f>IF(COUNTIF(Sheet2!A:A,C109)&gt;0,"Ada","Tidak Ada")</f>
        <v>Ada</v>
      </c>
      <c r="B109">
        <f>IF(A109="Ada",IF(IFERROR(VLOOKUP(C109,Sheet2!A:C,2,FALSE),"")="",IFERROR(VLOOKUP(C109,Sheet2!A:C,3,FALSE),""),VLOOKUP(C109,Sheet2!A:C,2,FALSE)),"")</f>
        <v>0</v>
      </c>
      <c r="C109" s="2">
        <v>1571307433</v>
      </c>
      <c r="D109" t="s">
        <v>0</v>
      </c>
      <c r="E109" t="s">
        <v>218</v>
      </c>
      <c r="F109" t="s">
        <v>219</v>
      </c>
      <c r="G109" s="1">
        <v>46247</v>
      </c>
      <c r="H109" t="s">
        <v>3</v>
      </c>
      <c r="I109" t="s">
        <v>4</v>
      </c>
      <c r="J109" t="s">
        <v>5</v>
      </c>
      <c r="K109" t="s">
        <v>6</v>
      </c>
      <c r="L109" t="s">
        <v>7</v>
      </c>
    </row>
    <row r="110" spans="1:12" x14ac:dyDescent="0.3">
      <c r="A110" t="str">
        <f>IF(COUNTIF(Sheet2!A:A,C110)&gt;0,"Ada","Tidak Ada")</f>
        <v>Tidak Ada</v>
      </c>
      <c r="B110" t="str">
        <f>IF(A110="Ada",IF(IFERROR(VLOOKUP(C110,Sheet2!A:C,2,FALSE),"")="",IFERROR(VLOOKUP(C110,Sheet2!A:C,3,FALSE),""),VLOOKUP(C110,Sheet2!A:C,2,FALSE)),"")</f>
        <v/>
      </c>
      <c r="C110" s="2">
        <v>1571307467</v>
      </c>
      <c r="D110" t="s">
        <v>0</v>
      </c>
      <c r="E110" t="s">
        <v>220</v>
      </c>
      <c r="F110" t="s">
        <v>221</v>
      </c>
      <c r="G110" s="1">
        <v>46247</v>
      </c>
      <c r="H110" t="s">
        <v>3</v>
      </c>
      <c r="I110" t="s">
        <v>4</v>
      </c>
      <c r="J110" t="s">
        <v>5</v>
      </c>
      <c r="K110" t="s">
        <v>6</v>
      </c>
      <c r="L110" t="s">
        <v>7</v>
      </c>
    </row>
    <row r="111" spans="1:12" x14ac:dyDescent="0.3">
      <c r="A111" t="str">
        <f>IF(COUNTIF(Sheet2!A:A,C111)&gt;0,"Ada","Tidak Ada")</f>
        <v>Tidak Ada</v>
      </c>
      <c r="B111" t="str">
        <f>IF(A111="Ada",IF(IFERROR(VLOOKUP(C111,Sheet2!A:C,2,FALSE),"")="",IFERROR(VLOOKUP(C111,Sheet2!A:C,3,FALSE),""),VLOOKUP(C111,Sheet2!A:C,2,FALSE)),"")</f>
        <v/>
      </c>
      <c r="C111" s="2">
        <v>1571307511</v>
      </c>
      <c r="D111" t="s">
        <v>0</v>
      </c>
      <c r="E111" t="s">
        <v>222</v>
      </c>
      <c r="F111" t="s">
        <v>223</v>
      </c>
      <c r="G111" s="1">
        <v>46247</v>
      </c>
      <c r="H111" t="s">
        <v>3</v>
      </c>
      <c r="I111" t="s">
        <v>4</v>
      </c>
      <c r="J111" t="s">
        <v>5</v>
      </c>
      <c r="K111" t="s">
        <v>6</v>
      </c>
      <c r="L111" t="s">
        <v>7</v>
      </c>
    </row>
    <row r="112" spans="1:12" x14ac:dyDescent="0.3">
      <c r="A112" t="str">
        <f>IF(COUNTIF(Sheet2!A:A,C112)&gt;0,"Ada","Tidak Ada")</f>
        <v>Tidak Ada</v>
      </c>
      <c r="B112" t="str">
        <f>IF(A112="Ada",IF(IFERROR(VLOOKUP(C112,Sheet2!A:C,2,FALSE),"")="",IFERROR(VLOOKUP(C112,Sheet2!A:C,3,FALSE),""),VLOOKUP(C112,Sheet2!A:C,2,FALSE)),"")</f>
        <v/>
      </c>
      <c r="C112" s="2">
        <v>1571307533</v>
      </c>
      <c r="D112" t="s">
        <v>0</v>
      </c>
      <c r="E112" t="s">
        <v>224</v>
      </c>
      <c r="F112" t="s">
        <v>225</v>
      </c>
      <c r="G112" s="1">
        <v>46247</v>
      </c>
      <c r="H112" t="s">
        <v>3</v>
      </c>
      <c r="I112" t="s">
        <v>4</v>
      </c>
      <c r="J112" t="s">
        <v>5</v>
      </c>
      <c r="K112" t="s">
        <v>6</v>
      </c>
      <c r="L112" t="s">
        <v>7</v>
      </c>
    </row>
    <row r="113" spans="1:12" x14ac:dyDescent="0.3">
      <c r="A113" t="str">
        <f>IF(COUNTIF(Sheet2!A:A,C113)&gt;0,"Ada","Tidak Ada")</f>
        <v>Tidak Ada</v>
      </c>
      <c r="B113" t="str">
        <f>IF(A113="Ada",IF(IFERROR(VLOOKUP(C113,Sheet2!A:C,2,FALSE),"")="",IFERROR(VLOOKUP(C113,Sheet2!A:C,3,FALSE),""),VLOOKUP(C113,Sheet2!A:C,2,FALSE)),"")</f>
        <v/>
      </c>
      <c r="C113" s="2">
        <v>1571307597</v>
      </c>
      <c r="D113" t="s">
        <v>0</v>
      </c>
      <c r="E113" t="s">
        <v>226</v>
      </c>
      <c r="F113" t="s">
        <v>227</v>
      </c>
      <c r="G113" s="1">
        <v>46247</v>
      </c>
      <c r="H113" t="s">
        <v>3</v>
      </c>
      <c r="I113" t="s">
        <v>4</v>
      </c>
      <c r="J113" t="s">
        <v>5</v>
      </c>
      <c r="K113" t="s">
        <v>6</v>
      </c>
      <c r="L113" t="s">
        <v>7</v>
      </c>
    </row>
    <row r="114" spans="1:12" x14ac:dyDescent="0.3">
      <c r="A114" t="str">
        <f>IF(COUNTIF(Sheet2!A:A,C114)&gt;0,"Ada","Tidak Ada")</f>
        <v>Tidak Ada</v>
      </c>
      <c r="B114" t="str">
        <f>IF(A114="Ada",IF(IFERROR(VLOOKUP(C114,Sheet2!A:C,2,FALSE),"")="",IFERROR(VLOOKUP(C114,Sheet2!A:C,3,FALSE),""),VLOOKUP(C114,Sheet2!A:C,2,FALSE)),"")</f>
        <v/>
      </c>
      <c r="C114" s="2">
        <v>1571307615</v>
      </c>
      <c r="D114" t="s">
        <v>0</v>
      </c>
      <c r="E114" t="s">
        <v>228</v>
      </c>
      <c r="F114" t="s">
        <v>229</v>
      </c>
      <c r="G114" s="1">
        <v>46247</v>
      </c>
      <c r="H114" t="s">
        <v>3</v>
      </c>
      <c r="I114" t="s">
        <v>4</v>
      </c>
      <c r="J114" t="s">
        <v>5</v>
      </c>
      <c r="K114" t="s">
        <v>6</v>
      </c>
      <c r="L114" t="s">
        <v>7</v>
      </c>
    </row>
    <row r="115" spans="1:12" x14ac:dyDescent="0.3">
      <c r="A115" t="str">
        <f>IF(COUNTIF(Sheet2!A:A,C115)&gt;0,"Ada","Tidak Ada")</f>
        <v>Ada</v>
      </c>
      <c r="B115">
        <f>IF(A115="Ada",IF(IFERROR(VLOOKUP(C115,Sheet2!A:C,2,FALSE),"")="",IFERROR(VLOOKUP(C115,Sheet2!A:C,3,FALSE),""),VLOOKUP(C115,Sheet2!A:C,2,FALSE)),"")</f>
        <v>0</v>
      </c>
      <c r="C115" s="2">
        <v>1571307622</v>
      </c>
      <c r="D115" t="s">
        <v>0</v>
      </c>
      <c r="E115" t="s">
        <v>230</v>
      </c>
      <c r="F115" t="s">
        <v>231</v>
      </c>
      <c r="G115" s="1">
        <v>46247</v>
      </c>
      <c r="H115" t="s">
        <v>3</v>
      </c>
      <c r="I115" t="s">
        <v>4</v>
      </c>
      <c r="J115" t="s">
        <v>5</v>
      </c>
      <c r="K115" t="s">
        <v>6</v>
      </c>
      <c r="L115" t="s">
        <v>7</v>
      </c>
    </row>
    <row r="116" spans="1:12" x14ac:dyDescent="0.3">
      <c r="A116" t="str">
        <f>IF(COUNTIF(Sheet2!A:A,C116)&gt;0,"Ada","Tidak Ada")</f>
        <v>Tidak Ada</v>
      </c>
      <c r="B116" t="str">
        <f>IF(A116="Ada",IF(IFERROR(VLOOKUP(C116,Sheet2!A:C,2,FALSE),"")="",IFERROR(VLOOKUP(C116,Sheet2!A:C,3,FALSE),""),VLOOKUP(C116,Sheet2!A:C,2,FALSE)),"")</f>
        <v/>
      </c>
      <c r="C116" s="2">
        <v>1571307624</v>
      </c>
      <c r="D116" t="s">
        <v>0</v>
      </c>
      <c r="E116" t="s">
        <v>232</v>
      </c>
      <c r="F116" t="s">
        <v>233</v>
      </c>
      <c r="G116" s="1">
        <v>46247</v>
      </c>
      <c r="H116" t="s">
        <v>3</v>
      </c>
      <c r="I116" t="s">
        <v>4</v>
      </c>
      <c r="J116" t="s">
        <v>5</v>
      </c>
      <c r="K116" t="s">
        <v>6</v>
      </c>
      <c r="L116" t="s">
        <v>7</v>
      </c>
    </row>
    <row r="117" spans="1:12" x14ac:dyDescent="0.3">
      <c r="A117" t="str">
        <f>IF(COUNTIF(Sheet2!A:A,C117)&gt;0,"Ada","Tidak Ada")</f>
        <v>Tidak Ada</v>
      </c>
      <c r="B117" t="str">
        <f>IF(A117="Ada",IF(IFERROR(VLOOKUP(C117,Sheet2!A:C,2,FALSE),"")="",IFERROR(VLOOKUP(C117,Sheet2!A:C,3,FALSE),""),VLOOKUP(C117,Sheet2!A:C,2,FALSE)),"")</f>
        <v/>
      </c>
      <c r="C117" s="2">
        <v>1571307635</v>
      </c>
      <c r="D117" t="s">
        <v>0</v>
      </c>
      <c r="E117" t="s">
        <v>234</v>
      </c>
      <c r="F117" t="s">
        <v>235</v>
      </c>
      <c r="G117" s="1">
        <v>46247</v>
      </c>
      <c r="H117" t="s">
        <v>3</v>
      </c>
      <c r="I117" t="s">
        <v>4</v>
      </c>
      <c r="J117" t="s">
        <v>5</v>
      </c>
      <c r="K117" t="s">
        <v>6</v>
      </c>
      <c r="L117" t="s">
        <v>7</v>
      </c>
    </row>
    <row r="118" spans="1:12" x14ac:dyDescent="0.3">
      <c r="A118" t="str">
        <f>IF(COUNTIF(Sheet2!A:A,C118)&gt;0,"Ada","Tidak Ada")</f>
        <v>Tidak Ada</v>
      </c>
      <c r="B118" t="str">
        <f>IF(A118="Ada",IF(IFERROR(VLOOKUP(C118,Sheet2!A:C,2,FALSE),"")="",IFERROR(VLOOKUP(C118,Sheet2!A:C,3,FALSE),""),VLOOKUP(C118,Sheet2!A:C,2,FALSE)),"")</f>
        <v/>
      </c>
      <c r="C118" s="2">
        <v>1571307652</v>
      </c>
      <c r="D118" t="s">
        <v>0</v>
      </c>
      <c r="E118" t="s">
        <v>236</v>
      </c>
      <c r="F118" t="s">
        <v>237</v>
      </c>
      <c r="G118" s="1">
        <v>46247</v>
      </c>
      <c r="H118" t="s">
        <v>3</v>
      </c>
      <c r="I118" t="s">
        <v>4</v>
      </c>
      <c r="J118" t="s">
        <v>5</v>
      </c>
      <c r="K118" t="s">
        <v>6</v>
      </c>
      <c r="L118" t="s">
        <v>7</v>
      </c>
    </row>
    <row r="119" spans="1:12" x14ac:dyDescent="0.3">
      <c r="A119" t="str">
        <f>IF(COUNTIF(Sheet2!A:A,C119)&gt;0,"Ada","Tidak Ada")</f>
        <v>Tidak Ada</v>
      </c>
      <c r="B119" t="str">
        <f>IF(A119="Ada",IF(IFERROR(VLOOKUP(C119,Sheet2!A:C,2,FALSE),"")="",IFERROR(VLOOKUP(C119,Sheet2!A:C,3,FALSE),""),VLOOKUP(C119,Sheet2!A:C,2,FALSE)),"")</f>
        <v/>
      </c>
      <c r="C119" s="2">
        <v>1571307660</v>
      </c>
      <c r="D119" t="s">
        <v>0</v>
      </c>
      <c r="E119" t="s">
        <v>238</v>
      </c>
      <c r="F119" t="s">
        <v>239</v>
      </c>
      <c r="G119" s="1">
        <v>46247</v>
      </c>
      <c r="H119" t="s">
        <v>3</v>
      </c>
      <c r="I119" t="s">
        <v>4</v>
      </c>
      <c r="J119" t="s">
        <v>5</v>
      </c>
      <c r="K119" t="s">
        <v>6</v>
      </c>
      <c r="L119" t="s">
        <v>7</v>
      </c>
    </row>
    <row r="120" spans="1:12" x14ac:dyDescent="0.3">
      <c r="A120" t="str">
        <f>IF(COUNTIF(Sheet2!A:A,C120)&gt;0,"Ada","Tidak Ada")</f>
        <v>Ada</v>
      </c>
      <c r="B120">
        <f>IF(A120="Ada",IF(IFERROR(VLOOKUP(C120,Sheet2!A:C,2,FALSE),"")="",IFERROR(VLOOKUP(C120,Sheet2!A:C,3,FALSE),""),VLOOKUP(C120,Sheet2!A:C,2,FALSE)),"")</f>
        <v>0</v>
      </c>
      <c r="C120" s="2">
        <v>1571307671</v>
      </c>
      <c r="D120" t="s">
        <v>0</v>
      </c>
      <c r="E120" t="s">
        <v>240</v>
      </c>
      <c r="F120" t="s">
        <v>241</v>
      </c>
      <c r="G120" s="1">
        <v>46247</v>
      </c>
      <c r="H120" t="s">
        <v>3</v>
      </c>
      <c r="I120" t="s">
        <v>4</v>
      </c>
      <c r="J120" t="s">
        <v>5</v>
      </c>
      <c r="K120" t="s">
        <v>6</v>
      </c>
      <c r="L120" t="s">
        <v>7</v>
      </c>
    </row>
    <row r="121" spans="1:12" x14ac:dyDescent="0.3">
      <c r="A121" t="str">
        <f>IF(COUNTIF(Sheet2!A:A,C121)&gt;0,"Ada","Tidak Ada")</f>
        <v>Ada</v>
      </c>
      <c r="B121">
        <f>IF(A121="Ada",IF(IFERROR(VLOOKUP(C121,Sheet2!A:C,2,FALSE),"")="",IFERROR(VLOOKUP(C121,Sheet2!A:C,3,FALSE),""),VLOOKUP(C121,Sheet2!A:C,2,FALSE)),"")</f>
        <v>0</v>
      </c>
      <c r="C121" s="2">
        <v>1571307676</v>
      </c>
      <c r="D121" t="s">
        <v>0</v>
      </c>
      <c r="E121" t="s">
        <v>242</v>
      </c>
      <c r="F121" t="s">
        <v>243</v>
      </c>
      <c r="G121" s="1">
        <v>46247</v>
      </c>
      <c r="H121" t="s">
        <v>3</v>
      </c>
      <c r="I121" t="s">
        <v>4</v>
      </c>
      <c r="J121" t="s">
        <v>5</v>
      </c>
      <c r="K121" t="s">
        <v>6</v>
      </c>
      <c r="L121" t="s">
        <v>7</v>
      </c>
    </row>
    <row r="122" spans="1:12" x14ac:dyDescent="0.3">
      <c r="A122" t="str">
        <f>IF(COUNTIF(Sheet2!A:A,C122)&gt;0,"Ada","Tidak Ada")</f>
        <v>Tidak Ada</v>
      </c>
      <c r="B122" t="str">
        <f>IF(A122="Ada",IF(IFERROR(VLOOKUP(C122,Sheet2!A:C,2,FALSE),"")="",IFERROR(VLOOKUP(C122,Sheet2!A:C,3,FALSE),""),VLOOKUP(C122,Sheet2!A:C,2,FALSE)),"")</f>
        <v/>
      </c>
      <c r="C122" s="2">
        <v>1571307682</v>
      </c>
      <c r="D122" t="s">
        <v>0</v>
      </c>
      <c r="E122" t="s">
        <v>244</v>
      </c>
      <c r="F122" t="s">
        <v>245</v>
      </c>
      <c r="G122" s="1">
        <v>46247</v>
      </c>
      <c r="H122" t="s">
        <v>3</v>
      </c>
      <c r="I122" t="s">
        <v>4</v>
      </c>
      <c r="J122" t="s">
        <v>5</v>
      </c>
      <c r="K122" t="s">
        <v>6</v>
      </c>
      <c r="L122" t="s">
        <v>7</v>
      </c>
    </row>
    <row r="123" spans="1:12" x14ac:dyDescent="0.3">
      <c r="A123" t="str">
        <f>IF(COUNTIF(Sheet2!A:A,C123)&gt;0,"Ada","Tidak Ada")</f>
        <v>Tidak Ada</v>
      </c>
      <c r="B123" t="str">
        <f>IF(A123="Ada",IF(IFERROR(VLOOKUP(C123,Sheet2!A:C,2,FALSE),"")="",IFERROR(VLOOKUP(C123,Sheet2!A:C,3,FALSE),""),VLOOKUP(C123,Sheet2!A:C,2,FALSE)),"")</f>
        <v/>
      </c>
      <c r="C123" s="2">
        <v>1571307703</v>
      </c>
      <c r="D123" t="s">
        <v>0</v>
      </c>
      <c r="E123" t="s">
        <v>246</v>
      </c>
      <c r="F123" t="s">
        <v>247</v>
      </c>
      <c r="G123" s="1">
        <v>46247</v>
      </c>
      <c r="H123" t="s">
        <v>3</v>
      </c>
      <c r="I123" t="s">
        <v>4</v>
      </c>
      <c r="J123" t="s">
        <v>5</v>
      </c>
      <c r="K123" t="s">
        <v>6</v>
      </c>
      <c r="L123" t="s">
        <v>7</v>
      </c>
    </row>
    <row r="124" spans="1:12" x14ac:dyDescent="0.3">
      <c r="A124" t="str">
        <f>IF(COUNTIF(Sheet2!A:A,C124)&gt;0,"Ada","Tidak Ada")</f>
        <v>Tidak Ada</v>
      </c>
      <c r="B124" t="str">
        <f>IF(A124="Ada",IF(IFERROR(VLOOKUP(C124,Sheet2!A:C,2,FALSE),"")="",IFERROR(VLOOKUP(C124,Sheet2!A:C,3,FALSE),""),VLOOKUP(C124,Sheet2!A:C,2,FALSE)),"")</f>
        <v/>
      </c>
      <c r="C124" s="2">
        <v>1571308724</v>
      </c>
      <c r="D124" t="s">
        <v>0</v>
      </c>
      <c r="E124" t="s">
        <v>248</v>
      </c>
      <c r="F124" t="s">
        <v>249</v>
      </c>
      <c r="G124" s="1">
        <v>46247</v>
      </c>
      <c r="H124" t="s">
        <v>3</v>
      </c>
      <c r="I124" t="s">
        <v>4</v>
      </c>
      <c r="J124" t="s">
        <v>5</v>
      </c>
      <c r="K124" t="s">
        <v>6</v>
      </c>
      <c r="L124" t="s">
        <v>7</v>
      </c>
    </row>
    <row r="125" spans="1:12" x14ac:dyDescent="0.3">
      <c r="A125" t="str">
        <f>IF(COUNTIF(Sheet2!A:A,C125)&gt;0,"Ada","Tidak Ada")</f>
        <v>Ada</v>
      </c>
      <c r="B125">
        <f>IF(A125="Ada",IF(IFERROR(VLOOKUP(C125,Sheet2!A:C,2,FALSE),"")="",IFERROR(VLOOKUP(C125,Sheet2!A:C,3,FALSE),""),VLOOKUP(C125,Sheet2!A:C,2,FALSE)),"")</f>
        <v>0</v>
      </c>
      <c r="C125" s="2">
        <v>1571308850</v>
      </c>
      <c r="D125" t="s">
        <v>0</v>
      </c>
      <c r="E125" t="s">
        <v>250</v>
      </c>
      <c r="F125" t="s">
        <v>251</v>
      </c>
      <c r="G125" s="1">
        <v>46247</v>
      </c>
      <c r="H125" t="s">
        <v>3</v>
      </c>
      <c r="I125" t="s">
        <v>4</v>
      </c>
      <c r="J125" t="s">
        <v>5</v>
      </c>
      <c r="K125" t="s">
        <v>6</v>
      </c>
      <c r="L125" t="s">
        <v>7</v>
      </c>
    </row>
    <row r="126" spans="1:12" x14ac:dyDescent="0.3">
      <c r="A126" t="str">
        <f>IF(COUNTIF(Sheet2!A:A,C126)&gt;0,"Ada","Tidak Ada")</f>
        <v>Tidak Ada</v>
      </c>
      <c r="B126" t="str">
        <f>IF(A126="Ada",IF(IFERROR(VLOOKUP(C126,Sheet2!A:C,2,FALSE),"")="",IFERROR(VLOOKUP(C126,Sheet2!A:C,3,FALSE),""),VLOOKUP(C126,Sheet2!A:C,2,FALSE)),"")</f>
        <v/>
      </c>
      <c r="C126" s="2">
        <v>1571309340</v>
      </c>
      <c r="D126" t="s">
        <v>0</v>
      </c>
      <c r="E126" t="s">
        <v>252</v>
      </c>
      <c r="F126" t="s">
        <v>253</v>
      </c>
      <c r="G126" s="1">
        <v>46247</v>
      </c>
      <c r="H126" t="s">
        <v>3</v>
      </c>
      <c r="I126" t="s">
        <v>4</v>
      </c>
      <c r="J126" t="s">
        <v>5</v>
      </c>
      <c r="K126" t="s">
        <v>6</v>
      </c>
      <c r="L126" t="s">
        <v>7</v>
      </c>
    </row>
    <row r="127" spans="1:12" x14ac:dyDescent="0.3">
      <c r="A127" t="str">
        <f>IF(COUNTIF(Sheet2!A:A,C127)&gt;0,"Ada","Tidak Ada")</f>
        <v>Tidak Ada</v>
      </c>
      <c r="B127" t="str">
        <f>IF(A127="Ada",IF(IFERROR(VLOOKUP(C127,Sheet2!A:C,2,FALSE),"")="",IFERROR(VLOOKUP(C127,Sheet2!A:C,3,FALSE),""),VLOOKUP(C127,Sheet2!A:C,2,FALSE)),"")</f>
        <v/>
      </c>
      <c r="C127" s="2">
        <v>1571310439</v>
      </c>
      <c r="D127" t="s">
        <v>0</v>
      </c>
      <c r="E127" t="s">
        <v>254</v>
      </c>
      <c r="F127" t="s">
        <v>255</v>
      </c>
      <c r="G127" s="1">
        <v>46247</v>
      </c>
      <c r="H127" t="s">
        <v>3</v>
      </c>
      <c r="I127" t="s">
        <v>4</v>
      </c>
      <c r="J127" t="s">
        <v>5</v>
      </c>
      <c r="K127" t="s">
        <v>6</v>
      </c>
      <c r="L12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0240-4B53-4571-9694-7E2E7C87F1EF}">
  <dimension ref="A1:C60"/>
  <sheetViews>
    <sheetView topLeftCell="A36" workbookViewId="0">
      <selection sqref="A1:A60"/>
    </sheetView>
  </sheetViews>
  <sheetFormatPr defaultRowHeight="14.4" x14ac:dyDescent="0.3"/>
  <cols>
    <col min="1" max="1" width="24.6640625" customWidth="1"/>
    <col min="2" max="2" width="60.44140625" bestFit="1" customWidth="1"/>
    <col min="3" max="3" width="44.6640625" bestFit="1" customWidth="1"/>
  </cols>
  <sheetData>
    <row r="1" spans="1:3" x14ac:dyDescent="0.3">
      <c r="A1">
        <v>1571267469</v>
      </c>
      <c r="C1" t="s">
        <v>282</v>
      </c>
    </row>
    <row r="2" spans="1:3" x14ac:dyDescent="0.3">
      <c r="A2">
        <v>1571267484</v>
      </c>
      <c r="B2" t="s">
        <v>258</v>
      </c>
      <c r="C2" t="s">
        <v>258</v>
      </c>
    </row>
    <row r="3" spans="1:3" x14ac:dyDescent="0.3">
      <c r="A3">
        <v>1571267967</v>
      </c>
      <c r="C3" t="s">
        <v>283</v>
      </c>
    </row>
    <row r="4" spans="1:3" x14ac:dyDescent="0.3">
      <c r="A4">
        <v>1571268176</v>
      </c>
      <c r="B4" t="s">
        <v>259</v>
      </c>
      <c r="C4" t="s">
        <v>259</v>
      </c>
    </row>
    <row r="5" spans="1:3" x14ac:dyDescent="0.3">
      <c r="A5">
        <v>1571279780</v>
      </c>
      <c r="C5" t="s">
        <v>284</v>
      </c>
    </row>
    <row r="6" spans="1:3" x14ac:dyDescent="0.3">
      <c r="A6">
        <v>1571280074</v>
      </c>
      <c r="C6" t="s">
        <v>285</v>
      </c>
    </row>
    <row r="7" spans="1:3" x14ac:dyDescent="0.3">
      <c r="A7">
        <v>1571281021</v>
      </c>
      <c r="C7" t="s">
        <v>286</v>
      </c>
    </row>
    <row r="8" spans="1:3" x14ac:dyDescent="0.3">
      <c r="A8">
        <v>1571281084</v>
      </c>
      <c r="B8" t="s">
        <v>260</v>
      </c>
      <c r="C8" t="s">
        <v>260</v>
      </c>
    </row>
    <row r="9" spans="1:3" x14ac:dyDescent="0.3">
      <c r="A9">
        <v>1571282959</v>
      </c>
      <c r="B9" t="s">
        <v>261</v>
      </c>
      <c r="C9" t="s">
        <v>287</v>
      </c>
    </row>
    <row r="10" spans="1:3" x14ac:dyDescent="0.3">
      <c r="A10">
        <v>1571286979</v>
      </c>
      <c r="B10" t="s">
        <v>262</v>
      </c>
      <c r="C10" t="s">
        <v>57</v>
      </c>
    </row>
    <row r="11" spans="1:3" x14ac:dyDescent="0.3">
      <c r="A11">
        <v>1571289829</v>
      </c>
      <c r="B11" t="s">
        <v>263</v>
      </c>
      <c r="C11" t="s">
        <v>288</v>
      </c>
    </row>
    <row r="12" spans="1:3" x14ac:dyDescent="0.3">
      <c r="A12">
        <v>1571290388</v>
      </c>
      <c r="C12" t="s">
        <v>289</v>
      </c>
    </row>
    <row r="13" spans="1:3" x14ac:dyDescent="0.3">
      <c r="A13">
        <v>1571290818</v>
      </c>
      <c r="B13" t="s">
        <v>264</v>
      </c>
      <c r="C13" t="s">
        <v>264</v>
      </c>
    </row>
    <row r="14" spans="1:3" x14ac:dyDescent="0.3">
      <c r="A14">
        <v>1571291272</v>
      </c>
      <c r="C14" t="s">
        <v>290</v>
      </c>
    </row>
    <row r="15" spans="1:3" x14ac:dyDescent="0.3">
      <c r="A15">
        <v>1571291423</v>
      </c>
      <c r="B15" t="s">
        <v>265</v>
      </c>
      <c r="C15" t="s">
        <v>291</v>
      </c>
    </row>
    <row r="16" spans="1:3" x14ac:dyDescent="0.3">
      <c r="A16">
        <v>1571291625</v>
      </c>
      <c r="B16" t="s">
        <v>266</v>
      </c>
      <c r="C16" t="s">
        <v>292</v>
      </c>
    </row>
    <row r="17" spans="1:3" x14ac:dyDescent="0.3">
      <c r="A17">
        <v>1571291638</v>
      </c>
      <c r="C17" t="s">
        <v>293</v>
      </c>
    </row>
    <row r="18" spans="1:3" x14ac:dyDescent="0.3">
      <c r="A18">
        <v>1571291668</v>
      </c>
      <c r="C18" t="s">
        <v>294</v>
      </c>
    </row>
    <row r="19" spans="1:3" x14ac:dyDescent="0.3">
      <c r="A19">
        <v>1571291877</v>
      </c>
      <c r="C19" t="s">
        <v>295</v>
      </c>
    </row>
    <row r="20" spans="1:3" x14ac:dyDescent="0.3">
      <c r="A20">
        <v>1571291935</v>
      </c>
      <c r="C20" t="s">
        <v>296</v>
      </c>
    </row>
    <row r="21" spans="1:3" x14ac:dyDescent="0.3">
      <c r="A21">
        <v>1571292356</v>
      </c>
      <c r="B21" t="s">
        <v>267</v>
      </c>
      <c r="C21" t="s">
        <v>297</v>
      </c>
    </row>
    <row r="22" spans="1:3" x14ac:dyDescent="0.3">
      <c r="A22">
        <v>1571292417</v>
      </c>
      <c r="C22" t="s">
        <v>298</v>
      </c>
    </row>
    <row r="23" spans="1:3" x14ac:dyDescent="0.3">
      <c r="A23">
        <v>1571294926</v>
      </c>
      <c r="B23" t="s">
        <v>268</v>
      </c>
      <c r="C23" t="s">
        <v>299</v>
      </c>
    </row>
    <row r="24" spans="1:3" x14ac:dyDescent="0.3">
      <c r="A24">
        <v>1571295713</v>
      </c>
      <c r="B24" t="s">
        <v>269</v>
      </c>
      <c r="C24" t="s">
        <v>300</v>
      </c>
    </row>
    <row r="25" spans="1:3" x14ac:dyDescent="0.3">
      <c r="A25">
        <v>1571296305</v>
      </c>
      <c r="C25" t="s">
        <v>301</v>
      </c>
    </row>
    <row r="26" spans="1:3" x14ac:dyDescent="0.3">
      <c r="A26">
        <v>1571297897</v>
      </c>
      <c r="B26" t="s">
        <v>270</v>
      </c>
      <c r="C26" t="s">
        <v>270</v>
      </c>
    </row>
    <row r="27" spans="1:3" x14ac:dyDescent="0.3">
      <c r="A27">
        <v>1571298038</v>
      </c>
      <c r="B27" t="s">
        <v>271</v>
      </c>
      <c r="C27" t="s">
        <v>302</v>
      </c>
    </row>
    <row r="28" spans="1:3" x14ac:dyDescent="0.3">
      <c r="A28">
        <v>1571298045</v>
      </c>
      <c r="B28" t="s">
        <v>272</v>
      </c>
      <c r="C28" t="s">
        <v>303</v>
      </c>
    </row>
    <row r="29" spans="1:3" x14ac:dyDescent="0.3">
      <c r="A29">
        <v>1571298209</v>
      </c>
      <c r="B29" t="s">
        <v>273</v>
      </c>
      <c r="C29" t="s">
        <v>304</v>
      </c>
    </row>
    <row r="30" spans="1:3" x14ac:dyDescent="0.3">
      <c r="A30">
        <v>1571298278</v>
      </c>
      <c r="B30" t="s">
        <v>274</v>
      </c>
      <c r="C30" t="s">
        <v>305</v>
      </c>
    </row>
    <row r="31" spans="1:3" x14ac:dyDescent="0.3">
      <c r="A31">
        <v>1571298458</v>
      </c>
      <c r="B31" t="s">
        <v>275</v>
      </c>
      <c r="C31" t="s">
        <v>306</v>
      </c>
    </row>
    <row r="32" spans="1:3" x14ac:dyDescent="0.3">
      <c r="A32">
        <v>1571298558</v>
      </c>
      <c r="B32" t="s">
        <v>276</v>
      </c>
      <c r="C32" t="s">
        <v>276</v>
      </c>
    </row>
    <row r="33" spans="1:3" x14ac:dyDescent="0.3">
      <c r="A33">
        <v>1571298976</v>
      </c>
      <c r="C33" t="s">
        <v>307</v>
      </c>
    </row>
    <row r="34" spans="1:3" x14ac:dyDescent="0.3">
      <c r="A34">
        <v>1571300264</v>
      </c>
      <c r="B34" t="s">
        <v>277</v>
      </c>
      <c r="C34" t="s">
        <v>308</v>
      </c>
    </row>
    <row r="35" spans="1:3" x14ac:dyDescent="0.3">
      <c r="A35">
        <v>1571300636</v>
      </c>
      <c r="C35" t="s">
        <v>309</v>
      </c>
    </row>
    <row r="36" spans="1:3" x14ac:dyDescent="0.3">
      <c r="A36">
        <v>1571300706</v>
      </c>
      <c r="B36" t="s">
        <v>278</v>
      </c>
      <c r="C36" t="s">
        <v>310</v>
      </c>
    </row>
    <row r="37" spans="1:3" x14ac:dyDescent="0.3">
      <c r="A37">
        <v>1571301191</v>
      </c>
      <c r="C37" t="s">
        <v>311</v>
      </c>
    </row>
    <row r="38" spans="1:3" x14ac:dyDescent="0.3">
      <c r="A38">
        <v>1571303126</v>
      </c>
      <c r="C38" t="s">
        <v>312</v>
      </c>
    </row>
    <row r="39" spans="1:3" x14ac:dyDescent="0.3">
      <c r="A39">
        <v>1571304164</v>
      </c>
      <c r="B39" t="s">
        <v>279</v>
      </c>
      <c r="C39" t="s">
        <v>313</v>
      </c>
    </row>
    <row r="40" spans="1:3" x14ac:dyDescent="0.3">
      <c r="A40">
        <v>1571304167</v>
      </c>
      <c r="B40" t="s">
        <v>280</v>
      </c>
      <c r="C40" t="s">
        <v>314</v>
      </c>
    </row>
    <row r="41" spans="1:3" x14ac:dyDescent="0.3">
      <c r="A41">
        <v>1571304705</v>
      </c>
      <c r="B41" t="s">
        <v>275</v>
      </c>
      <c r="C41" t="s">
        <v>306</v>
      </c>
    </row>
    <row r="42" spans="1:3" x14ac:dyDescent="0.3">
      <c r="A42">
        <v>1571304827</v>
      </c>
      <c r="B42" t="s">
        <v>266</v>
      </c>
      <c r="C42" t="s">
        <v>306</v>
      </c>
    </row>
    <row r="43" spans="1:3" x14ac:dyDescent="0.3">
      <c r="A43">
        <v>1571305122</v>
      </c>
      <c r="B43" t="s">
        <v>281</v>
      </c>
      <c r="C43" t="s">
        <v>306</v>
      </c>
    </row>
    <row r="44" spans="1:3" x14ac:dyDescent="0.3">
      <c r="A44">
        <v>1571305199</v>
      </c>
      <c r="C44" t="s">
        <v>316</v>
      </c>
    </row>
    <row r="45" spans="1:3" x14ac:dyDescent="0.3">
      <c r="A45">
        <v>1571305279</v>
      </c>
      <c r="C45" t="s">
        <v>317</v>
      </c>
    </row>
    <row r="46" spans="1:3" x14ac:dyDescent="0.3">
      <c r="A46">
        <v>1571305316</v>
      </c>
      <c r="B46" t="s">
        <v>281</v>
      </c>
      <c r="C46" t="s">
        <v>306</v>
      </c>
    </row>
    <row r="47" spans="1:3" x14ac:dyDescent="0.3">
      <c r="A47">
        <v>1571305337</v>
      </c>
      <c r="B47" t="s">
        <v>315</v>
      </c>
      <c r="C47" t="s">
        <v>318</v>
      </c>
    </row>
    <row r="48" spans="1:3" x14ac:dyDescent="0.3">
      <c r="A48">
        <v>1571305354</v>
      </c>
    </row>
    <row r="49" spans="1:1" x14ac:dyDescent="0.3">
      <c r="A49">
        <v>1571305360</v>
      </c>
    </row>
    <row r="50" spans="1:1" x14ac:dyDescent="0.3">
      <c r="A50">
        <v>1571305741</v>
      </c>
    </row>
    <row r="51" spans="1:1" x14ac:dyDescent="0.3">
      <c r="A51">
        <v>1571306241</v>
      </c>
    </row>
    <row r="52" spans="1:1" x14ac:dyDescent="0.3">
      <c r="A52">
        <v>1571306264</v>
      </c>
    </row>
    <row r="53" spans="1:1" x14ac:dyDescent="0.3">
      <c r="A53">
        <v>1571307035</v>
      </c>
    </row>
    <row r="54" spans="1:1" x14ac:dyDescent="0.3">
      <c r="A54">
        <v>1571307129</v>
      </c>
    </row>
    <row r="55" spans="1:1" x14ac:dyDescent="0.3">
      <c r="A55">
        <v>1571307383</v>
      </c>
    </row>
    <row r="56" spans="1:1" x14ac:dyDescent="0.3">
      <c r="A56">
        <v>1571307433</v>
      </c>
    </row>
    <row r="57" spans="1:1" x14ac:dyDescent="0.3">
      <c r="A57">
        <v>1571307622</v>
      </c>
    </row>
    <row r="58" spans="1:1" x14ac:dyDescent="0.3">
      <c r="A58">
        <v>1571307671</v>
      </c>
    </row>
    <row r="59" spans="1:1" x14ac:dyDescent="0.3">
      <c r="A59">
        <v>1571307676</v>
      </c>
    </row>
    <row r="60" spans="1:1" x14ac:dyDescent="0.3">
      <c r="A60">
        <v>1571308850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Abdillah</dc:creator>
  <cp:lastModifiedBy>Rifqi Abdillah</cp:lastModifiedBy>
  <dcterms:created xsi:type="dcterms:W3CDTF">2026-07-27T01:40:04Z</dcterms:created>
  <dcterms:modified xsi:type="dcterms:W3CDTF">2026-07-29T14:10:15Z</dcterms:modified>
</cp:coreProperties>
</file>